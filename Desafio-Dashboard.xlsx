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udaf\Downloads\Atividade-DIO\"/>
    </mc:Choice>
  </mc:AlternateContent>
  <xr:revisionPtr revIDLastSave="0" documentId="13_ncr:1_{A1685FCD-514F-4DE8-AEBF-9180954D7275}" xr6:coauthVersionLast="47" xr6:coauthVersionMax="47" xr10:uidLastSave="{00000000-0000-0000-0000-000000000000}"/>
  <bookViews>
    <workbookView xWindow="-108" yWindow="-108" windowWidth="23256" windowHeight="131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<sst xmlns="http://schemas.openxmlformats.org/spreadsheetml/2006/main" count="2014" uniqueCount="324">
  <si>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</si>
  <si>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</si>
  <si>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</si>
  <si>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</si>
  <si>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</si>
  <si>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</si>
  <si>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</si>
  <si>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</si>
  <si>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</si>
  <si>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</si>
  <si>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</si>
  <si>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</si>
  <si>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</si>
  <si>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</si>
  <si>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</si>
  <si>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</si>
  <si>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</si>
  <si>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</si>
  <si>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</si>
  <si>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</si>
  <si>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</si>
  <si>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</si>
  <si>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</si>
  <si>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</si>
  <si>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</si>
  <si>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</si>
  <si>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</si>
  <si>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</si>
  <si>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</si>
  <si>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</si>
  <si>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</si>
  <si>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</si>
  <si>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</si>
  <si>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</si>
  <si>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</si>
  <si>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</si>
  <si>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</si>
  <si>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</si>
  <si>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</si>
  <si>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</si>
  <si>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</si>
  <si>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</si>
  <si>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</si>
  <si>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</si>
  <si>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</si>
  <si>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</si>
  <si>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</si>
  <si>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</si>
  <si>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</si>
  <si>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</si>
  <si>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</si>
  <si>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</si>
  <si>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</si>
  <si>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</si>
  <si>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</si>
  <si>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</si>
  <si>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</si>
  <si>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</si>
  <si>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</si>
  <si>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</si>
  <si>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</si>
  <si>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</si>
  <si>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</si>
  <si>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</si>
  <si>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</si>
  <si>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</si>
  <si>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</si>
  <si>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</si>
  <si>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</si>
  <si>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</si>
  <si>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</si>
  <si>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</si>
  <si>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</si>
  <si>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</si>
  <si>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</si>
  <si>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</si>
  <si>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</si>
  <si>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</si>
  <si>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</si>
  <si>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</si>
  <si>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</si>
  <si>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</si>
  <si>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</si>
  <si>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</si>
  <si>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</si>
  <si>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</si>
  <si>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</si>
  <si>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</si>
  <si>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</si>
  <si>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</si>
  <si>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</si>
  <si>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</si>
  <si>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</si>
  <si>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</si>
  <si>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</si>
  <si>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</si>
  <si>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</si>
  <si>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</si>
  <si>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</si>
  <si>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</si>
  <si>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</si>
  <si>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</si>
  <si>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</si>
  <si>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</si>
  <si>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</si>
  <si>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</si>
  <si>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</si>
  <si>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</si>
  <si>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</si>
  <si>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</si>
  <si>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</si>
  <si>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</si>
  <si>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</si>
  <si>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</si>
  <si>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</si>
  <si>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</si>
  <si>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</si>
  <si>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</si>
  <si>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</si>
  <si>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</si>
  <si>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</si>
  <si>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</si>
  <si>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</si>
  <si>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</si>
  <si>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</si>
  <si>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</si>
  <si>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</si>
  <si>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</si>
  <si>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</si>
  <si>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</si>
  <si>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</si>
  <si>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</si>
  <si>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</si>
  <si>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</si>
  <si>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</si>
  <si>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</si>
  <si>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</si>
  <si>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</si>
  <si>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</si>
  <si>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</si>
  <si>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</si>
  <si>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</si>
  <si>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</si>
  <si>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</si>
  <si>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</si>
  <si>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</si>
  <si>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</si>
  <si>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</si>
  <si>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</si>
  <si>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</si>
  <si>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</si>
  <si>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</si>
  <si>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</si>
  <si>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</si>
  <si>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</si>
  <si>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</si>
  <si>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</si>
  <si>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</si>
  <si>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</si>
  <si>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</si>
  <si>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</si>
  <si>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</si>
  <si>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</si>
  <si>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</si>
  <si>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</si>
  <si>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</si>
  <si>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</si>
  <si>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</si>
  <si>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</si>
  <si>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</si>
  <si>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</si>
  <si>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</si>
  <si>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</si>
  <si>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</si>
  <si>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</si>
  <si>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</si>
  <si>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</si>
  <si>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</si>
  <si>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</si>
  <si>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</si>
  <si>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</si>
  <si>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</si>
  <si>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</si>
  <si>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</si>
  <si>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</si>
  <si>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</si>
  <si>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</si>
  <si>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</si>
  <si>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</si>
  <si>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</si>
  <si>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</si>
  <si>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</si>
  <si>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</si>
  <si>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</si>
  <si>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</si>
  <si>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</si>
  <si>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</si>
  <si>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</si>
  <si>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</si>
  <si>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</si>
  <si>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</si>
  <si>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</si>
  <si>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</si>
  <si>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</si>
  <si>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</si>
  <si>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</si>
  <si>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</si>
  <si>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</si>
  <si>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</si>
  <si>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</si>
  <si>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</si>
  <si>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</si>
  <si>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</si>
  <si>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</si>
  <si>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</si>
  <si>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</si>
  <si>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</si>
  <si>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</si>
  <si>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</si>
  <si>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</si>
  <si>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</si>
  <si>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</si>
  <si>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</si>
  <si>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</si>
  <si>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</si>
  <si>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</si>
  <si>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</si>
  <si>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</si>
  <si>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</si>
  <si>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</si>
  <si>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</si>
  <si>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</si>
  <si>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</si>
  <si>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</si>
  <si>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</si>
  <si>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</si>
  <si>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</si>
  <si>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</si>
  <si>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</si>
  <si>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</si>
  <si>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</si>
  <si>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</si>
  <si>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</si>
  <si>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</si>
  <si>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</si>
  <si>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</si>
  <si>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</si>
  <si>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</si>
  <si>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</si>
  <si>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</si>
  <si>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</si>
  <si>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</si>
  <si>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</si>
  <si>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</si>
  <si>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</si>
  <si>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</si>
  <si>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</si>
  <si>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</si>
  <si>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</si>
  <si>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</si>
  <si>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</si>
  <si>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</si>
  <si>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</si>
  <si>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</si>
  <si>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</si>
  <si>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</si>
  <si>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</si>
  <si>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</si>
  <si>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</si>
  <si>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</si>
  <si>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</si>
  <si>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</si>
  <si>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</si>
  <si>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</si>
  <si>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</si>
  <si>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</si>
  <si>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</si>
  <si>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</si>
  <si>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</si>
  <si>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</si>
  <si>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</si>
  <si>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</si>
  <si>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</si>
  <si>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</si>
  <si>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</si>
  <si>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</si>
  <si>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</si>
  <si>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</si>
  <si>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</si>
  <si>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</si>
  <si>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</si>
  <si>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</si>
  <si>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</si>
  <si>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</si>
  <si>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</si>
  <si>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</si>
  <si>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</si>
  <si>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</si>
  <si>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</si>
  <si>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</si>
  <si>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</si>
  <si>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</si>
  <si>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</si>
  <si>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</si>
  <si>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</si>
  <si>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</si>
  <si>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</si>
  <si>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</si>
  <si>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</si>
  <si>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</si>
  <si>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</si>
  <si>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</si>
  <si>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</si>
  <si>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é o Valor Médio Total das assinaturas (incluindo Season Passes)?</t>
  </si>
  <si>
    <t>Qual o impacto dos cupons na receita total? (Por exemplo: o valor economizado pelos clientes vs. o valor total).</t>
  </si>
  <si>
    <t>Soma de Total Value</t>
  </si>
  <si>
    <t>Média de Total Value</t>
  </si>
  <si>
    <t>Total Geral</t>
  </si>
  <si>
    <t>(Tudo)</t>
  </si>
  <si>
    <t>Season Pass</t>
  </si>
  <si>
    <t>Qual a taxa de adesão à Renovação Automática e ela tem uma relação com o Total Value do cliente?</t>
  </si>
  <si>
    <t>Cont. de Auto Renewal</t>
  </si>
  <si>
    <t>Qual a receita total gerada no período?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</si>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</sst>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/>
    <xf numFmtId="0" fontId="4" fillId="4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8000"/>
      <color rgb="FF339933"/>
      <color rgb="FF22C55E"/>
      <color rgb="FFE8E6E9"/>
      <color rgb="FF5BF6A8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[Desafio-Dashboard.xlsx]C̳álculos!Tabela dinâmica5</c:name>
    <c:fmtId val="0"/>
  </c:pivotSource>
  <c:chart>
    <c:autoTitleDeleted val="0"/>
    <c:pivotFmts>
      <c:pivotFmt>
        <c:idx val="0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000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C̳álculos!$B$32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3-4D08-97C7-77E5B2188F01}"/>
              </c:ext>
            </c:extLst>
          </c:dPt>
          <c:dLbls>
            <c:dLbl>
              <c:idx val="0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3-4D08-97C7-77E5B2188F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C̳álculos!$B$33</c:f>
              <c:numCache>
                <c:formatCode>"R$"\ #,##0.00</c:formatCode>
                <c:ptCount val="1"/>
                <c:pt idx="0">
                  <c:v>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30-4F53-A0A5-CA7FC1A9DE54}"/>
            </c:ext>
          </c:extLst>
        </c:ser>
        <c:ser>
          <c:idx val="1"/>
          <c:order val="1"/>
          <c:tx>
            <c:strRef>
              <c:f>C̳álculos!$C$32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C̳álculos!$C$33</c:f>
              <c:numCache>
                <c:formatCode>"R$"\ #,##0.00</c:formatCode>
                <c:ptCount val="1"/>
                <c:pt idx="0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0-4F53-A0A5-CA7FC1A9D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39563999"/>
        <c:axId val="1439564415"/>
      </c:barChart>
      <c:catAx>
        <c:axId val="143956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564415"/>
        <c:crosses val="autoZero"/>
        <c:auto val="1"/>
        <c:lblAlgn val="ctr"/>
        <c:lblOffset val="100"/>
        <c:noMultiLvlLbl val="0"/>
      </c:catAx>
      <c:valAx>
        <c:axId val="1439564415"/>
        <c:scaling>
          <c:orientation val="minMax"/>
        </c:scaling>
        <c:delete val="0"/>
        <c:axPos val="l"/>
        <c:numFmt formatCode="&quot;R$&quot;\ 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56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5</xdr:row>
      <xdr:rowOff>95250</xdr:rowOff>
    </xdr:from>
    <xdr:to>
      <xdr:col>6</xdr:col>
      <xdr:colOff>400050</xdr:colOff>
      <xdr:row>14</xdr:row>
      <xdr:rowOff>38100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3377C242-D046-4878-A46D-E96EDBA8BA9B}"/>
            </a:ext>
          </a:extLst>
        </xdr:cNvPr>
        <xdr:cNvSpPr/>
      </xdr:nvSpPr>
      <xdr:spPr>
        <a:xfrm>
          <a:off x="2190750" y="1628775"/>
          <a:ext cx="2676525" cy="14859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371475</xdr:colOff>
      <xdr:row>5</xdr:row>
      <xdr:rowOff>85725</xdr:rowOff>
    </xdr:from>
    <xdr:to>
      <xdr:col>11</xdr:col>
      <xdr:colOff>381000</xdr:colOff>
      <xdr:row>14</xdr:row>
      <xdr:rowOff>28575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C9AD430-EBD9-4F42-8E3D-446FDD4B717E}"/>
            </a:ext>
          </a:extLst>
        </xdr:cNvPr>
        <xdr:cNvSpPr/>
      </xdr:nvSpPr>
      <xdr:spPr>
        <a:xfrm>
          <a:off x="5505450" y="1619250"/>
          <a:ext cx="2676525" cy="14859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600075</xdr:colOff>
      <xdr:row>5</xdr:row>
      <xdr:rowOff>85725</xdr:rowOff>
    </xdr:from>
    <xdr:to>
      <xdr:col>16</xdr:col>
      <xdr:colOff>609600</xdr:colOff>
      <xdr:row>14</xdr:row>
      <xdr:rowOff>28575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4D72242-E45B-4F81-BC91-11EE44729375}"/>
            </a:ext>
          </a:extLst>
        </xdr:cNvPr>
        <xdr:cNvSpPr/>
      </xdr:nvSpPr>
      <xdr:spPr>
        <a:xfrm>
          <a:off x="8905875" y="1619250"/>
          <a:ext cx="2676525" cy="14859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323850</xdr:colOff>
      <xdr:row>8</xdr:row>
      <xdr:rowOff>152400</xdr:rowOff>
    </xdr:from>
    <xdr:to>
      <xdr:col>5</xdr:col>
      <xdr:colOff>419100</xdr:colOff>
      <xdr:row>12</xdr:row>
      <xdr:rowOff>76200</xdr:rowOff>
    </xdr:to>
    <xdr:sp macro="" textlink="C̳álculos!B25:B25">
      <xdr:nvSpPr>
        <xdr:cNvPr id="6" name="CaixaDeTexto 5">
          <a:extLst>
            <a:ext uri="{FF2B5EF4-FFF2-40B4-BE49-F238E27FC236}">
              <a16:creationId xmlns:a16="http://schemas.microsoft.com/office/drawing/2014/main" id="{289801C2-854E-4887-9786-87D56961C319}"/>
            </a:ext>
          </a:extLst>
        </xdr:cNvPr>
        <xdr:cNvSpPr txBox="1"/>
      </xdr:nvSpPr>
      <xdr:spPr>
        <a:xfrm>
          <a:off x="2790825" y="2200275"/>
          <a:ext cx="142875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4E7BB58-1791-4B76-A2AC-15CCDB9684C4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ctr"/>
            <a:t>R$ 1.754,00</a:t>
          </a:fld>
          <a:endParaRPr lang="pt-BR" sz="2000"/>
        </a:p>
      </xdr:txBody>
    </xdr:sp>
    <xdr:clientData/>
  </xdr:twoCellAnchor>
  <xdr:twoCellAnchor>
    <xdr:from>
      <xdr:col>2</xdr:col>
      <xdr:colOff>381000</xdr:colOff>
      <xdr:row>5</xdr:row>
      <xdr:rowOff>85725</xdr:rowOff>
    </xdr:from>
    <xdr:to>
      <xdr:col>6</xdr:col>
      <xdr:colOff>390525</xdr:colOff>
      <xdr:row>7</xdr:row>
      <xdr:rowOff>161925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AE5CFE47-4288-400B-A69A-59F5A11687FE}"/>
            </a:ext>
          </a:extLst>
        </xdr:cNvPr>
        <xdr:cNvSpPr/>
      </xdr:nvSpPr>
      <xdr:spPr>
        <a:xfrm>
          <a:off x="2181225" y="1619250"/>
          <a:ext cx="2676525" cy="419100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Média</a:t>
          </a:r>
          <a:r>
            <a:rPr lang="pt-BR" sz="1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 Receita</a:t>
          </a:r>
        </a:p>
      </xdr:txBody>
    </xdr:sp>
    <xdr:clientData/>
  </xdr:twoCellAnchor>
  <xdr:twoCellAnchor>
    <xdr:from>
      <xdr:col>7</xdr:col>
      <xdr:colOff>371475</xdr:colOff>
      <xdr:row>5</xdr:row>
      <xdr:rowOff>76200</xdr:rowOff>
    </xdr:from>
    <xdr:to>
      <xdr:col>11</xdr:col>
      <xdr:colOff>381000</xdr:colOff>
      <xdr:row>7</xdr:row>
      <xdr:rowOff>152400</xdr:rowOff>
    </xdr:to>
    <xdr:sp macro="" textlink="">
      <xdr:nvSpPr>
        <xdr:cNvPr id="8" name="Retângulo: Cantos Superiores Arredondados 7">
          <a:extLst>
            <a:ext uri="{FF2B5EF4-FFF2-40B4-BE49-F238E27FC236}">
              <a16:creationId xmlns:a16="http://schemas.microsoft.com/office/drawing/2014/main" id="{1397FDC1-6405-4B8E-B9C9-F80EF939C1B3}"/>
            </a:ext>
          </a:extLst>
        </xdr:cNvPr>
        <xdr:cNvSpPr/>
      </xdr:nvSpPr>
      <xdr:spPr>
        <a:xfrm>
          <a:off x="5505450" y="1609725"/>
          <a:ext cx="2676525" cy="419100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Num.</a:t>
          </a:r>
          <a:r>
            <a:rPr lang="pt-BR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Cliente</a:t>
          </a:r>
          <a:r>
            <a:rPr lang="pt-BR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sem Renovação auto</a:t>
          </a:r>
          <a:endParaRPr lang="pt-BR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600075</xdr:colOff>
      <xdr:row>5</xdr:row>
      <xdr:rowOff>57150</xdr:rowOff>
    </xdr:from>
    <xdr:to>
      <xdr:col>16</xdr:col>
      <xdr:colOff>609600</xdr:colOff>
      <xdr:row>7</xdr:row>
      <xdr:rowOff>133350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D3F686BA-8F60-48D7-A948-06F64068C377}"/>
            </a:ext>
          </a:extLst>
        </xdr:cNvPr>
        <xdr:cNvSpPr/>
      </xdr:nvSpPr>
      <xdr:spPr>
        <a:xfrm>
          <a:off x="8905875" y="1590675"/>
          <a:ext cx="2676525" cy="419100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Num. Cliente com Renovação auto</a:t>
          </a:r>
        </a:p>
      </xdr:txBody>
    </xdr:sp>
    <xdr:clientData/>
  </xdr:twoCellAnchor>
  <xdr:twoCellAnchor>
    <xdr:from>
      <xdr:col>8</xdr:col>
      <xdr:colOff>361950</xdr:colOff>
      <xdr:row>8</xdr:row>
      <xdr:rowOff>142875</xdr:rowOff>
    </xdr:from>
    <xdr:to>
      <xdr:col>10</xdr:col>
      <xdr:colOff>457200</xdr:colOff>
      <xdr:row>12</xdr:row>
      <xdr:rowOff>66675</xdr:rowOff>
    </xdr:to>
    <xdr:sp macro="" textlink="C̳álculos!C15">
      <xdr:nvSpPr>
        <xdr:cNvPr id="10" name="CaixaDeTexto 9">
          <a:extLst>
            <a:ext uri="{FF2B5EF4-FFF2-40B4-BE49-F238E27FC236}">
              <a16:creationId xmlns:a16="http://schemas.microsoft.com/office/drawing/2014/main" id="{CD1C42F8-EF94-4057-A0DC-CE5393B2858A}"/>
            </a:ext>
          </a:extLst>
        </xdr:cNvPr>
        <xdr:cNvSpPr txBox="1"/>
      </xdr:nvSpPr>
      <xdr:spPr>
        <a:xfrm>
          <a:off x="6162675" y="2190750"/>
          <a:ext cx="142875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0B7DFC7-316B-482D-B762-85A7291BE6D1}" type="TxLink">
            <a:rPr lang="en-US" sz="2800" b="0" i="0" u="none" strike="noStrike">
              <a:solidFill>
                <a:srgbClr val="000000"/>
              </a:solidFill>
              <a:latin typeface="Aptos Narrow"/>
            </a:rPr>
            <a:pPr algn="ctr"/>
            <a:t>147</a:t>
          </a:fld>
          <a:endParaRPr lang="pt-BR" sz="6000"/>
        </a:p>
      </xdr:txBody>
    </xdr:sp>
    <xdr:clientData/>
  </xdr:twoCellAnchor>
  <xdr:twoCellAnchor>
    <xdr:from>
      <xdr:col>13</xdr:col>
      <xdr:colOff>571500</xdr:colOff>
      <xdr:row>8</xdr:row>
      <xdr:rowOff>161925</xdr:rowOff>
    </xdr:from>
    <xdr:to>
      <xdr:col>16</xdr:col>
      <xdr:colOff>0</xdr:colOff>
      <xdr:row>12</xdr:row>
      <xdr:rowOff>85725</xdr:rowOff>
    </xdr:to>
    <xdr:sp macro="" textlink="C̳álculos!C16">
      <xdr:nvSpPr>
        <xdr:cNvPr id="11" name="CaixaDeTexto 10">
          <a:extLst>
            <a:ext uri="{FF2B5EF4-FFF2-40B4-BE49-F238E27FC236}">
              <a16:creationId xmlns:a16="http://schemas.microsoft.com/office/drawing/2014/main" id="{E7A97BF3-59CB-48A9-B79D-D19E0119D946}"/>
            </a:ext>
          </a:extLst>
        </xdr:cNvPr>
        <xdr:cNvSpPr txBox="1"/>
      </xdr:nvSpPr>
      <xdr:spPr>
        <a:xfrm>
          <a:off x="9544050" y="2209800"/>
          <a:ext cx="142875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B9A1A2E-D907-4A1E-B78C-0EB9909C288A}" type="TxLink">
            <a:rPr lang="en-US" sz="2800" b="0" i="0" u="none" strike="noStrike">
              <a:solidFill>
                <a:srgbClr val="000000"/>
              </a:solidFill>
              <a:latin typeface="Aptos Narrow"/>
            </a:rPr>
            <a:pPr algn="ctr"/>
            <a:t>148</a:t>
          </a:fld>
          <a:endParaRPr lang="pt-BR" sz="6000"/>
        </a:p>
      </xdr:txBody>
    </xdr:sp>
    <xdr:clientData/>
  </xdr:twoCellAnchor>
  <xdr:twoCellAnchor>
    <xdr:from>
      <xdr:col>2</xdr:col>
      <xdr:colOff>404813</xdr:colOff>
      <xdr:row>19</xdr:row>
      <xdr:rowOff>66675</xdr:rowOff>
    </xdr:from>
    <xdr:to>
      <xdr:col>17</xdr:col>
      <xdr:colOff>0</xdr:colOff>
      <xdr:row>33</xdr:row>
      <xdr:rowOff>4763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6D21C2A-C97E-4396-811B-EC949E3BA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409575</xdr:colOff>
      <xdr:row>17</xdr:row>
      <xdr:rowOff>76200</xdr:rowOff>
    </xdr:from>
    <xdr:to>
      <xdr:col>17</xdr:col>
      <xdr:colOff>9525</xdr:colOff>
      <xdr:row>19</xdr:row>
      <xdr:rowOff>95250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364C2B00-E4B2-4D07-902F-C5A74C06A219}"/>
            </a:ext>
          </a:extLst>
        </xdr:cNvPr>
        <xdr:cNvSpPr txBox="1"/>
      </xdr:nvSpPr>
      <xdr:spPr>
        <a:xfrm>
          <a:off x="2209800" y="3667125"/>
          <a:ext cx="943927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200" b="1"/>
            <a:t>Total de Cupons ofericidos x Lucro</a:t>
          </a:r>
          <a:r>
            <a:rPr lang="pt-BR" sz="1200" b="1" baseline="0"/>
            <a:t> Total</a:t>
          </a:r>
          <a:endParaRPr lang="pt-BR" sz="1200" b="1"/>
        </a:p>
      </xdr:txBody>
    </xdr:sp>
    <xdr:clientData/>
  </xdr:twoCellAnchor>
  <xdr:twoCellAnchor>
    <xdr:from>
      <xdr:col>2</xdr:col>
      <xdr:colOff>314325</xdr:colOff>
      <xdr:row>1</xdr:row>
      <xdr:rowOff>57149</xdr:rowOff>
    </xdr:from>
    <xdr:to>
      <xdr:col>16</xdr:col>
      <xdr:colOff>542925</xdr:colOff>
      <xdr:row>1</xdr:row>
      <xdr:rowOff>400050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43DCBBAD-4071-45BA-ACFB-9832A7C928CB}"/>
            </a:ext>
          </a:extLst>
        </xdr:cNvPr>
        <xdr:cNvSpPr txBox="1"/>
      </xdr:nvSpPr>
      <xdr:spPr>
        <a:xfrm>
          <a:off x="2114550" y="228599"/>
          <a:ext cx="9401175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Análise de</a:t>
          </a:r>
          <a:r>
            <a:rPr lang="pt-BR" sz="2000" b="1" u="non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Vendas </a:t>
          </a:r>
          <a:endParaRPr lang="pt-BR" sz="2000" b="1" u="none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66676</xdr:colOff>
      <xdr:row>1</xdr:row>
      <xdr:rowOff>54614</xdr:rowOff>
    </xdr:from>
    <xdr:to>
      <xdr:col>2</xdr:col>
      <xdr:colOff>219075</xdr:colOff>
      <xdr:row>1</xdr:row>
      <xdr:rowOff>438150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71AF3B0E-58EE-499B-AAB7-7A5275340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6912" b="-4463"/>
        <a:stretch/>
      </xdr:blipFill>
      <xdr:spPr>
        <a:xfrm>
          <a:off x="1590676" y="226064"/>
          <a:ext cx="428624" cy="383536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7</xdr:row>
      <xdr:rowOff>28574</xdr:rowOff>
    </xdr:from>
    <xdr:to>
      <xdr:col>0</xdr:col>
      <xdr:colOff>1457325</xdr:colOff>
      <xdr:row>10</xdr:row>
      <xdr:rowOff>19050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BB3FF112-EB1F-4B8B-98B5-22DD057A4F1E}"/>
            </a:ext>
          </a:extLst>
        </xdr:cNvPr>
        <xdr:cNvSpPr txBox="1"/>
      </xdr:nvSpPr>
      <xdr:spPr>
        <a:xfrm>
          <a:off x="76200" y="1362074"/>
          <a:ext cx="1381125" cy="504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Liliane</a:t>
          </a:r>
          <a:r>
            <a:rPr lang="pt-BR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Ortega</a:t>
          </a:r>
          <a:endParaRPr lang="pt-BR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390526</xdr:colOff>
      <xdr:row>1</xdr:row>
      <xdr:rowOff>485775</xdr:rowOff>
    </xdr:from>
    <xdr:to>
      <xdr:col>0</xdr:col>
      <xdr:colOff>1095376</xdr:colOff>
      <xdr:row>6</xdr:row>
      <xdr:rowOff>127635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8FAD1685-FF49-4B0D-9274-D07F43CA869A}"/>
            </a:ext>
          </a:extLst>
        </xdr:cNvPr>
        <xdr:cNvSpPr/>
      </xdr:nvSpPr>
      <xdr:spPr>
        <a:xfrm>
          <a:off x="390526" y="657225"/>
          <a:ext cx="704850" cy="63246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8</xdr:col>
      <xdr:colOff>28575</xdr:colOff>
      <xdr:row>31</xdr:row>
      <xdr:rowOff>38100</xdr:rowOff>
    </xdr:from>
    <xdr:ext cx="595163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649CA2B-4779-4DA3-88B6-C9F6E52E8472}"/>
            </a:ext>
          </a:extLst>
        </xdr:cNvPr>
        <xdr:cNvSpPr txBox="1"/>
      </xdr:nvSpPr>
      <xdr:spPr>
        <a:xfrm>
          <a:off x="5829300" y="5486400"/>
          <a:ext cx="5951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Cupom</a:t>
          </a:r>
        </a:p>
      </xdr:txBody>
    </xdr:sp>
    <xdr:clientData/>
  </xdr:oneCellAnchor>
  <xdr:oneCellAnchor>
    <xdr:from>
      <xdr:col>11</xdr:col>
      <xdr:colOff>323850</xdr:colOff>
      <xdr:row>31</xdr:row>
      <xdr:rowOff>38100</xdr:rowOff>
    </xdr:from>
    <xdr:ext cx="50129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660A6F41-BF55-42EC-94D5-B5E5BFC13118}"/>
            </a:ext>
          </a:extLst>
        </xdr:cNvPr>
        <xdr:cNvSpPr txBox="1"/>
      </xdr:nvSpPr>
      <xdr:spPr>
        <a:xfrm>
          <a:off x="8124825" y="5486400"/>
          <a:ext cx="501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Lucro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Eduarda Falcão de Oliveira" refreshedDate="45927.525251967592" createdVersion="7" refreshedVersion="7" minRefreshableVersion="3" recordCount="295" xr:uid="{9B13AE2C-C32E-4499-8F15-6D6AB3C878A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x v="0"/>
    <x v="0"/>
    <n v="15"/>
    <x v="0"/>
    <s v="Yes"/>
    <n v="30"/>
    <x v="0"/>
    <n v="20"/>
    <x v="0"/>
    <n v="60"/>
  </r>
  <r>
    <n v="3232"/>
    <s v="Maria Oliveira"/>
    <s v="Core"/>
    <x v="1"/>
    <x v="1"/>
    <n v="5"/>
    <x v="1"/>
    <s v="No"/>
    <s v="-"/>
    <x v="1"/>
    <n v="0"/>
    <x v="1"/>
    <n v="5"/>
  </r>
  <r>
    <n v="3233"/>
    <s v="Lucas Fernandes"/>
    <s v="Standard"/>
    <x v="2"/>
    <x v="0"/>
    <n v="10"/>
    <x v="2"/>
    <s v="No"/>
    <s v="-"/>
    <x v="0"/>
    <n v="20"/>
    <x v="2"/>
    <n v="20"/>
  </r>
  <r>
    <n v="3234"/>
    <s v="Ana Souza"/>
    <s v="Ultimate"/>
    <x v="3"/>
    <x v="1"/>
    <n v="15"/>
    <x v="0"/>
    <s v="Yes"/>
    <n v="30"/>
    <x v="0"/>
    <n v="20"/>
    <x v="3"/>
    <n v="62"/>
  </r>
  <r>
    <n v="3235"/>
    <s v="Pedro Gonçalves"/>
    <s v="Core"/>
    <x v="4"/>
    <x v="0"/>
    <n v="5"/>
    <x v="0"/>
    <s v="No"/>
    <s v="-"/>
    <x v="1"/>
    <n v="0"/>
    <x v="4"/>
    <n v="4"/>
  </r>
  <r>
    <n v="3236"/>
    <s v="Felipe Costa"/>
    <s v="Standard"/>
    <x v="5"/>
    <x v="1"/>
    <n v="10"/>
    <x v="0"/>
    <s v="No"/>
    <s v="-"/>
    <x v="0"/>
    <n v="20"/>
    <x v="5"/>
    <n v="28"/>
  </r>
  <r>
    <n v="3237"/>
    <s v="Camila Ribeiro"/>
    <s v="Ultimate"/>
    <x v="6"/>
    <x v="0"/>
    <n v="15"/>
    <x v="2"/>
    <s v="Yes"/>
    <n v="30"/>
    <x v="0"/>
    <n v="20"/>
    <x v="2"/>
    <n v="55"/>
  </r>
  <r>
    <n v="3238"/>
    <s v="André Mendes"/>
    <s v="Core"/>
    <x v="7"/>
    <x v="0"/>
    <n v="5"/>
    <x v="1"/>
    <s v="No"/>
    <s v="-"/>
    <x v="1"/>
    <n v="0"/>
    <x v="1"/>
    <n v="5"/>
  </r>
  <r>
    <n v="3239"/>
    <s v="Sofia Almeida"/>
    <s v="Ultimate"/>
    <x v="4"/>
    <x v="1"/>
    <n v="15"/>
    <x v="0"/>
    <s v="Yes"/>
    <n v="30"/>
    <x v="0"/>
    <n v="20"/>
    <x v="0"/>
    <n v="60"/>
  </r>
  <r>
    <n v="3240"/>
    <s v="Bruno Martins"/>
    <s v="Standard"/>
    <x v="8"/>
    <x v="0"/>
    <n v="10"/>
    <x v="2"/>
    <s v="No"/>
    <s v="-"/>
    <x v="0"/>
    <n v="20"/>
    <x v="6"/>
    <n v="15"/>
  </r>
  <r>
    <n v="3241"/>
    <s v="Rita Castro"/>
    <s v="Core"/>
    <x v="9"/>
    <x v="1"/>
    <n v="5"/>
    <x v="0"/>
    <s v="No"/>
    <s v="-"/>
    <x v="1"/>
    <n v="0"/>
    <x v="4"/>
    <n v="4"/>
  </r>
  <r>
    <n v="3242"/>
    <s v="Marco Túlio"/>
    <s v="Ultimate"/>
    <x v="10"/>
    <x v="0"/>
    <n v="15"/>
    <x v="1"/>
    <s v="Yes"/>
    <n v="30"/>
    <x v="0"/>
    <n v="20"/>
    <x v="7"/>
    <n v="45"/>
  </r>
  <r>
    <n v="3243"/>
    <s v="Lívia Silveira"/>
    <s v="Standard"/>
    <x v="11"/>
    <x v="1"/>
    <n v="10"/>
    <x v="0"/>
    <s v="No"/>
    <s v="-"/>
    <x v="0"/>
    <n v="20"/>
    <x v="2"/>
    <n v="20"/>
  </r>
  <r>
    <n v="3244"/>
    <s v="Diogo Sousa"/>
    <s v="Core"/>
    <x v="12"/>
    <x v="0"/>
    <n v="5"/>
    <x v="2"/>
    <s v="No"/>
    <s v="-"/>
    <x v="1"/>
    <n v="0"/>
    <x v="1"/>
    <n v="5"/>
  </r>
  <r>
    <n v="3245"/>
    <s v="Fernanda Lima"/>
    <s v="Ultimate"/>
    <x v="13"/>
    <x v="1"/>
    <n v="15"/>
    <x v="0"/>
    <s v="Yes"/>
    <n v="30"/>
    <x v="0"/>
    <n v="20"/>
    <x v="8"/>
    <n v="57"/>
  </r>
  <r>
    <n v="3246"/>
    <s v="Caio Pereira"/>
    <s v="Standard"/>
    <x v="14"/>
    <x v="0"/>
    <n v="10"/>
    <x v="1"/>
    <s v="No"/>
    <s v="-"/>
    <x v="0"/>
    <n v="20"/>
    <x v="9"/>
    <n v="18"/>
  </r>
  <r>
    <n v="3247"/>
    <s v="Beatriz Gomes"/>
    <s v="Core"/>
    <x v="15"/>
    <x v="1"/>
    <n v="5"/>
    <x v="0"/>
    <s v="No"/>
    <s v="-"/>
    <x v="1"/>
    <n v="0"/>
    <x v="5"/>
    <n v="3"/>
  </r>
  <r>
    <n v="3248"/>
    <s v="Cesar Oliveira"/>
    <s v="Ultimate"/>
    <x v="16"/>
    <x v="0"/>
    <n v="15"/>
    <x v="2"/>
    <s v="Yes"/>
    <n v="30"/>
    <x v="0"/>
    <n v="20"/>
    <x v="10"/>
    <n v="58"/>
  </r>
  <r>
    <n v="3249"/>
    <s v="Débora Machado"/>
    <s v="Standard"/>
    <x v="17"/>
    <x v="1"/>
    <n v="10"/>
    <x v="0"/>
    <s v="No"/>
    <s v="-"/>
    <x v="0"/>
    <n v="20"/>
    <x v="0"/>
    <n v="25"/>
  </r>
  <r>
    <n v="3250"/>
    <s v="Eduardo Vargas"/>
    <s v="Core"/>
    <x v="18"/>
    <x v="0"/>
    <n v="5"/>
    <x v="1"/>
    <s v="No"/>
    <s v="-"/>
    <x v="1"/>
    <n v="0"/>
    <x v="1"/>
    <n v="5"/>
  </r>
  <r>
    <n v="3251"/>
    <s v="Gabriela Santos"/>
    <s v="Ultimate"/>
    <x v="19"/>
    <x v="1"/>
    <n v="15"/>
    <x v="0"/>
    <s v="Yes"/>
    <n v="30"/>
    <x v="0"/>
    <n v="20"/>
    <x v="3"/>
    <n v="62"/>
  </r>
  <r>
    <n v="3252"/>
    <s v="Henrique Dias"/>
    <s v="Standard"/>
    <x v="20"/>
    <x v="0"/>
    <n v="10"/>
    <x v="2"/>
    <s v="No"/>
    <s v="-"/>
    <x v="0"/>
    <n v="20"/>
    <x v="6"/>
    <n v="15"/>
  </r>
  <r>
    <n v="3253"/>
    <s v="Isabela Moreira"/>
    <s v="Core"/>
    <x v="21"/>
    <x v="1"/>
    <n v="5"/>
    <x v="0"/>
    <s v="No"/>
    <s v="-"/>
    <x v="1"/>
    <n v="0"/>
    <x v="4"/>
    <n v="4"/>
  </r>
  <r>
    <n v="3254"/>
    <s v="Joaquim Barbosa"/>
    <s v="Ultimate"/>
    <x v="22"/>
    <x v="0"/>
    <n v="15"/>
    <x v="1"/>
    <s v="Yes"/>
    <n v="30"/>
    <x v="0"/>
    <n v="20"/>
    <x v="7"/>
    <n v="45"/>
  </r>
  <r>
    <n v="3255"/>
    <s v="Lara Rocha"/>
    <s v="Standard"/>
    <x v="23"/>
    <x v="1"/>
    <n v="10"/>
    <x v="0"/>
    <s v="No"/>
    <s v="-"/>
    <x v="0"/>
    <n v="20"/>
    <x v="2"/>
    <n v="20"/>
  </r>
  <r>
    <n v="3256"/>
    <s v="Matheus Silva"/>
    <s v="Core"/>
    <x v="24"/>
    <x v="0"/>
    <n v="5"/>
    <x v="2"/>
    <s v="No"/>
    <s v="-"/>
    <x v="1"/>
    <n v="0"/>
    <x v="1"/>
    <n v="5"/>
  </r>
  <r>
    <n v="3257"/>
    <s v="Nicole Costa"/>
    <s v="Ultimate"/>
    <x v="25"/>
    <x v="1"/>
    <n v="15"/>
    <x v="0"/>
    <s v="Yes"/>
    <n v="30"/>
    <x v="0"/>
    <n v="20"/>
    <x v="0"/>
    <n v="60"/>
  </r>
  <r>
    <n v="3258"/>
    <s v="Otávio Mendonça"/>
    <s v="Standard"/>
    <x v="26"/>
    <x v="0"/>
    <n v="10"/>
    <x v="1"/>
    <s v="No"/>
    <s v="-"/>
    <x v="0"/>
    <n v="20"/>
    <x v="6"/>
    <n v="15"/>
  </r>
  <r>
    <n v="3259"/>
    <s v="Paula Ferreira"/>
    <s v="Core"/>
    <x v="27"/>
    <x v="1"/>
    <n v="5"/>
    <x v="0"/>
    <s v="No"/>
    <s v="-"/>
    <x v="1"/>
    <n v="0"/>
    <x v="4"/>
    <n v="4"/>
  </r>
  <r>
    <n v="3260"/>
    <s v="Raquel Alves"/>
    <s v="Ultimate"/>
    <x v="28"/>
    <x v="0"/>
    <n v="15"/>
    <x v="2"/>
    <s v="Yes"/>
    <n v="30"/>
    <x v="0"/>
    <n v="20"/>
    <x v="10"/>
    <n v="58"/>
  </r>
  <r>
    <n v="3261"/>
    <s v="Samuel Pires"/>
    <s v="Standard"/>
    <x v="29"/>
    <x v="1"/>
    <n v="10"/>
    <x v="0"/>
    <s v="No"/>
    <s v="-"/>
    <x v="0"/>
    <n v="20"/>
    <x v="2"/>
    <n v="20"/>
  </r>
  <r>
    <n v="3262"/>
    <s v="Tânia Barros"/>
    <s v="Core"/>
    <x v="30"/>
    <x v="0"/>
    <n v="5"/>
    <x v="1"/>
    <s v="No"/>
    <s v="-"/>
    <x v="1"/>
    <n v="0"/>
    <x v="1"/>
    <n v="5"/>
  </r>
  <r>
    <n v="3263"/>
    <s v="Vinicius Lima"/>
    <s v="Ultimate"/>
    <x v="31"/>
    <x v="1"/>
    <n v="15"/>
    <x v="0"/>
    <s v="Yes"/>
    <n v="30"/>
    <x v="0"/>
    <n v="20"/>
    <x v="3"/>
    <n v="62"/>
  </r>
  <r>
    <n v="3264"/>
    <s v="Yasmin Teixeira"/>
    <s v="Standard"/>
    <x v="32"/>
    <x v="0"/>
    <n v="10"/>
    <x v="2"/>
    <s v="No"/>
    <s v="-"/>
    <x v="0"/>
    <n v="20"/>
    <x v="6"/>
    <n v="15"/>
  </r>
  <r>
    <n v="3265"/>
    <s v="Zé Carlos"/>
    <s v="Core"/>
    <x v="33"/>
    <x v="1"/>
    <n v="5"/>
    <x v="0"/>
    <s v="No"/>
    <s v="-"/>
    <x v="1"/>
    <n v="0"/>
    <x v="4"/>
    <n v="4"/>
  </r>
  <r>
    <n v="3266"/>
    <s v="Amanda Nogueira"/>
    <s v="Core"/>
    <x v="34"/>
    <x v="0"/>
    <n v="5"/>
    <x v="0"/>
    <s v="No"/>
    <s v="-"/>
    <x v="1"/>
    <n v="0"/>
    <x v="1"/>
    <n v="5"/>
  </r>
  <r>
    <n v="3267"/>
    <s v="Bruno Cavalheiro"/>
    <s v="Ultimate"/>
    <x v="35"/>
    <x v="1"/>
    <n v="15"/>
    <x v="2"/>
    <s v="Yes"/>
    <n v="30"/>
    <x v="0"/>
    <n v="20"/>
    <x v="10"/>
    <n v="58"/>
  </r>
  <r>
    <n v="3268"/>
    <s v="Carla Dias"/>
    <s v="Standard"/>
    <x v="36"/>
    <x v="0"/>
    <n v="10"/>
    <x v="1"/>
    <s v="No"/>
    <s v="-"/>
    <x v="0"/>
    <n v="20"/>
    <x v="2"/>
    <n v="20"/>
  </r>
  <r>
    <n v="3269"/>
    <s v="Diego Fontes"/>
    <s v="Core"/>
    <x v="37"/>
    <x v="1"/>
    <n v="5"/>
    <x v="2"/>
    <s v="No"/>
    <s v="-"/>
    <x v="1"/>
    <n v="0"/>
    <x v="4"/>
    <n v="4"/>
  </r>
  <r>
    <n v="3270"/>
    <s v="Eunice Lima"/>
    <s v="Ultimate"/>
    <x v="38"/>
    <x v="0"/>
    <n v="15"/>
    <x v="0"/>
    <s v="Yes"/>
    <n v="30"/>
    <x v="0"/>
    <n v="20"/>
    <x v="6"/>
    <n v="50"/>
  </r>
  <r>
    <n v="3271"/>
    <s v="Fábio Martins"/>
    <s v="Standard"/>
    <x v="39"/>
    <x v="1"/>
    <n v="10"/>
    <x v="0"/>
    <s v="No"/>
    <s v="-"/>
    <x v="0"/>
    <n v="20"/>
    <x v="0"/>
    <n v="25"/>
  </r>
  <r>
    <n v="3272"/>
    <s v="Gisele Araújo"/>
    <s v="Core"/>
    <x v="40"/>
    <x v="0"/>
    <n v="5"/>
    <x v="1"/>
    <s v="No"/>
    <s v="-"/>
    <x v="1"/>
    <n v="0"/>
    <x v="1"/>
    <n v="5"/>
  </r>
  <r>
    <n v="3273"/>
    <s v="Hélio Castro"/>
    <s v="Ultimate"/>
    <x v="41"/>
    <x v="1"/>
    <n v="15"/>
    <x v="2"/>
    <s v="Yes"/>
    <n v="30"/>
    <x v="0"/>
    <n v="20"/>
    <x v="7"/>
    <n v="45"/>
  </r>
  <r>
    <n v="3274"/>
    <s v="Ingrid Menezes"/>
    <s v="Standard"/>
    <x v="42"/>
    <x v="0"/>
    <n v="10"/>
    <x v="2"/>
    <s v="No"/>
    <s v="-"/>
    <x v="0"/>
    <n v="20"/>
    <x v="9"/>
    <n v="18"/>
  </r>
  <r>
    <n v="3275"/>
    <s v="Jorge Baptista"/>
    <s v="Core"/>
    <x v="43"/>
    <x v="1"/>
    <n v="5"/>
    <x v="0"/>
    <s v="No"/>
    <s v="-"/>
    <x v="1"/>
    <n v="0"/>
    <x v="5"/>
    <n v="3"/>
  </r>
  <r>
    <n v="3276"/>
    <s v="Kléber Oliveira"/>
    <s v="Ultimate"/>
    <x v="44"/>
    <x v="0"/>
    <n v="15"/>
    <x v="1"/>
    <s v="Yes"/>
    <n v="30"/>
    <x v="0"/>
    <n v="20"/>
    <x v="0"/>
    <n v="60"/>
  </r>
  <r>
    <n v="3277"/>
    <s v="Luciana Freitas"/>
    <s v="Standard"/>
    <x v="45"/>
    <x v="1"/>
    <n v="10"/>
    <x v="0"/>
    <s v="No"/>
    <s v="-"/>
    <x v="0"/>
    <n v="20"/>
    <x v="2"/>
    <n v="20"/>
  </r>
  <r>
    <n v="3278"/>
    <s v="Márcia Eller"/>
    <s v="Core"/>
    <x v="46"/>
    <x v="0"/>
    <n v="5"/>
    <x v="2"/>
    <s v="No"/>
    <s v="-"/>
    <x v="1"/>
    <n v="0"/>
    <x v="1"/>
    <n v="5"/>
  </r>
  <r>
    <n v="3279"/>
    <s v="Nilo Peçanha"/>
    <s v="Ultimate"/>
    <x v="47"/>
    <x v="1"/>
    <n v="15"/>
    <x v="0"/>
    <s v="Yes"/>
    <n v="30"/>
    <x v="0"/>
    <n v="20"/>
    <x v="3"/>
    <n v="62"/>
  </r>
  <r>
    <n v="3280"/>
    <s v="Oscar Neves"/>
    <s v="Standard"/>
    <x v="48"/>
    <x v="0"/>
    <n v="10"/>
    <x v="1"/>
    <s v="No"/>
    <s v="-"/>
    <x v="0"/>
    <n v="20"/>
    <x v="6"/>
    <n v="15"/>
  </r>
  <r>
    <n v="3281"/>
    <s v="Patrícia Soares"/>
    <s v="Core"/>
    <x v="49"/>
    <x v="1"/>
    <n v="5"/>
    <x v="0"/>
    <s v="No"/>
    <s v="-"/>
    <x v="1"/>
    <n v="0"/>
    <x v="4"/>
    <n v="4"/>
  </r>
  <r>
    <n v="3282"/>
    <s v="Quirino Gonçalves"/>
    <s v="Ultimate"/>
    <x v="50"/>
    <x v="0"/>
    <n v="15"/>
    <x v="2"/>
    <s v="Yes"/>
    <n v="30"/>
    <x v="0"/>
    <n v="20"/>
    <x v="10"/>
    <n v="58"/>
  </r>
  <r>
    <n v="3283"/>
    <s v="Raul Machado"/>
    <s v="Standard"/>
    <x v="51"/>
    <x v="1"/>
    <n v="10"/>
    <x v="0"/>
    <s v="No"/>
    <s v="-"/>
    <x v="0"/>
    <n v="20"/>
    <x v="2"/>
    <n v="20"/>
  </r>
  <r>
    <n v="3284"/>
    <s v="Sônia Lobo"/>
    <s v="Core"/>
    <x v="52"/>
    <x v="0"/>
    <n v="5"/>
    <x v="1"/>
    <s v="No"/>
    <s v="-"/>
    <x v="1"/>
    <n v="0"/>
    <x v="1"/>
    <n v="5"/>
  </r>
  <r>
    <n v="3285"/>
    <s v="Tiago Ramos"/>
    <s v="Ultimate"/>
    <x v="53"/>
    <x v="1"/>
    <n v="15"/>
    <x v="0"/>
    <s v="Yes"/>
    <n v="30"/>
    <x v="0"/>
    <n v="20"/>
    <x v="7"/>
    <n v="45"/>
  </r>
  <r>
    <n v="3286"/>
    <s v="Ugo Pires"/>
    <s v="Standard"/>
    <x v="54"/>
    <x v="0"/>
    <n v="10"/>
    <x v="2"/>
    <s v="No"/>
    <s v="-"/>
    <x v="0"/>
    <n v="20"/>
    <x v="6"/>
    <n v="15"/>
  </r>
  <r>
    <n v="3287"/>
    <s v="Valéria Nobre"/>
    <s v="Core"/>
    <x v="55"/>
    <x v="1"/>
    <n v="5"/>
    <x v="0"/>
    <s v="No"/>
    <s v="-"/>
    <x v="1"/>
    <n v="0"/>
    <x v="4"/>
    <n v="4"/>
  </r>
  <r>
    <n v="3288"/>
    <s v="William Siqueira"/>
    <s v="Ultimate"/>
    <x v="56"/>
    <x v="0"/>
    <n v="15"/>
    <x v="1"/>
    <s v="Yes"/>
    <n v="30"/>
    <x v="0"/>
    <n v="20"/>
    <x v="3"/>
    <n v="62"/>
  </r>
  <r>
    <n v="3289"/>
    <s v="Xuxa Meneghel"/>
    <s v="Standard"/>
    <x v="57"/>
    <x v="1"/>
    <n v="10"/>
    <x v="0"/>
    <s v="No"/>
    <s v="-"/>
    <x v="0"/>
    <n v="20"/>
    <x v="2"/>
    <n v="20"/>
  </r>
  <r>
    <n v="3290"/>
    <s v="Yara Figueiredo"/>
    <s v="Core"/>
    <x v="58"/>
    <x v="0"/>
    <n v="5"/>
    <x v="2"/>
    <s v="No"/>
    <s v="-"/>
    <x v="1"/>
    <n v="0"/>
    <x v="1"/>
    <n v="5"/>
  </r>
  <r>
    <n v="3291"/>
    <s v="Zacarias Alves"/>
    <s v="Ultimate"/>
    <x v="59"/>
    <x v="1"/>
    <n v="15"/>
    <x v="0"/>
    <s v="Yes"/>
    <n v="30"/>
    <x v="0"/>
    <n v="20"/>
    <x v="0"/>
    <n v="60"/>
  </r>
  <r>
    <n v="3292"/>
    <s v="Amanda Bynes"/>
    <s v="Standard"/>
    <x v="60"/>
    <x v="0"/>
    <n v="10"/>
    <x v="1"/>
    <s v="No"/>
    <s v="-"/>
    <x v="0"/>
    <n v="20"/>
    <x v="6"/>
    <n v="15"/>
  </r>
  <r>
    <n v="3293"/>
    <s v="Bruno Mars"/>
    <s v="Core"/>
    <x v="61"/>
    <x v="1"/>
    <n v="5"/>
    <x v="0"/>
    <s v="No"/>
    <s v="-"/>
    <x v="1"/>
    <n v="0"/>
    <x v="4"/>
    <n v="4"/>
  </r>
  <r>
    <n v="3294"/>
    <s v="Carla Bruni"/>
    <s v="Ultimate"/>
    <x v="62"/>
    <x v="0"/>
    <n v="15"/>
    <x v="2"/>
    <s v="Yes"/>
    <n v="30"/>
    <x v="0"/>
    <n v="20"/>
    <x v="7"/>
    <n v="45"/>
  </r>
  <r>
    <n v="3295"/>
    <s v="Diego Maradona"/>
    <s v="Standard"/>
    <x v="63"/>
    <x v="1"/>
    <n v="10"/>
    <x v="0"/>
    <s v="No"/>
    <s v="-"/>
    <x v="0"/>
    <n v="20"/>
    <x v="0"/>
    <n v="25"/>
  </r>
  <r>
    <n v="3296"/>
    <s v="Estela Marques"/>
    <s v="Core"/>
    <x v="64"/>
    <x v="1"/>
    <n v="5"/>
    <x v="0"/>
    <s v="No"/>
    <s v="-"/>
    <x v="1"/>
    <n v="0"/>
    <x v="1"/>
    <n v="5"/>
  </r>
  <r>
    <n v="3297"/>
    <s v="Fábio Nobre"/>
    <s v="Ultimate"/>
    <x v="65"/>
    <x v="0"/>
    <n v="15"/>
    <x v="2"/>
    <s v="Yes"/>
    <n v="30"/>
    <x v="0"/>
    <n v="20"/>
    <x v="10"/>
    <n v="58"/>
  </r>
  <r>
    <n v="3298"/>
    <s v="Gabriel Oliveira"/>
    <s v="Standard"/>
    <x v="66"/>
    <x v="1"/>
    <n v="10"/>
    <x v="1"/>
    <s v="No"/>
    <s v="-"/>
    <x v="0"/>
    <n v="20"/>
    <x v="2"/>
    <n v="20"/>
  </r>
  <r>
    <n v="3299"/>
    <s v="Helena Santos"/>
    <s v="Core"/>
    <x v="67"/>
    <x v="0"/>
    <n v="5"/>
    <x v="2"/>
    <s v="No"/>
    <s v="-"/>
    <x v="1"/>
    <n v="0"/>
    <x v="4"/>
    <n v="4"/>
  </r>
  <r>
    <n v="3300"/>
    <s v="Ivan Carvalho"/>
    <s v="Ultimate"/>
    <x v="68"/>
    <x v="1"/>
    <n v="15"/>
    <x v="0"/>
    <s v="Yes"/>
    <n v="30"/>
    <x v="0"/>
    <n v="20"/>
    <x v="6"/>
    <n v="50"/>
  </r>
  <r>
    <n v="3301"/>
    <s v="Júlia Ferreira"/>
    <s v="Standard"/>
    <x v="69"/>
    <x v="0"/>
    <n v="10"/>
    <x v="0"/>
    <s v="No"/>
    <s v="-"/>
    <x v="0"/>
    <n v="20"/>
    <x v="0"/>
    <n v="25"/>
  </r>
  <r>
    <n v="3302"/>
    <s v="Karla Alves"/>
    <s v="Core"/>
    <x v="70"/>
    <x v="1"/>
    <n v="5"/>
    <x v="1"/>
    <s v="No"/>
    <s v="-"/>
    <x v="1"/>
    <n v="0"/>
    <x v="1"/>
    <n v="5"/>
  </r>
  <r>
    <n v="3303"/>
    <s v="Lucas Mendes"/>
    <s v="Ultimate"/>
    <x v="71"/>
    <x v="0"/>
    <n v="15"/>
    <x v="2"/>
    <s v="Yes"/>
    <n v="30"/>
    <x v="0"/>
    <n v="20"/>
    <x v="7"/>
    <n v="45"/>
  </r>
  <r>
    <n v="3304"/>
    <s v="Mônica Gomes"/>
    <s v="Standard"/>
    <x v="72"/>
    <x v="1"/>
    <n v="10"/>
    <x v="2"/>
    <s v="No"/>
    <s v="-"/>
    <x v="0"/>
    <n v="20"/>
    <x v="9"/>
    <n v="18"/>
  </r>
  <r>
    <n v="3305"/>
    <s v="Norberto Queiroz"/>
    <s v="Core"/>
    <x v="73"/>
    <x v="0"/>
    <n v="5"/>
    <x v="0"/>
    <s v="No"/>
    <s v="-"/>
    <x v="1"/>
    <n v="0"/>
    <x v="5"/>
    <n v="3"/>
  </r>
  <r>
    <n v="3306"/>
    <s v="Otávio Barros"/>
    <s v="Ultimate"/>
    <x v="74"/>
    <x v="1"/>
    <n v="15"/>
    <x v="1"/>
    <s v="Yes"/>
    <n v="30"/>
    <x v="0"/>
    <n v="20"/>
    <x v="0"/>
    <n v="60"/>
  </r>
  <r>
    <n v="3307"/>
    <s v="Paula Vieira"/>
    <s v="Standard"/>
    <x v="75"/>
    <x v="0"/>
    <n v="10"/>
    <x v="0"/>
    <s v="No"/>
    <s v="-"/>
    <x v="0"/>
    <n v="20"/>
    <x v="2"/>
    <n v="20"/>
  </r>
  <r>
    <n v="3308"/>
    <s v="Quentin Ramos"/>
    <s v="Core"/>
    <x v="76"/>
    <x v="1"/>
    <n v="5"/>
    <x v="2"/>
    <s v="No"/>
    <s v="-"/>
    <x v="1"/>
    <n v="0"/>
    <x v="1"/>
    <n v="5"/>
  </r>
  <r>
    <n v="3309"/>
    <s v="Raquel Novaes"/>
    <s v="Ultimate"/>
    <x v="77"/>
    <x v="0"/>
    <n v="15"/>
    <x v="0"/>
    <s v="Yes"/>
    <n v="30"/>
    <x v="0"/>
    <n v="20"/>
    <x v="3"/>
    <n v="62"/>
  </r>
  <r>
    <n v="3310"/>
    <s v="Samantha Lopes"/>
    <s v="Standard"/>
    <x v="78"/>
    <x v="1"/>
    <n v="10"/>
    <x v="1"/>
    <s v="No"/>
    <s v="-"/>
    <x v="0"/>
    <n v="20"/>
    <x v="6"/>
    <n v="15"/>
  </r>
  <r>
    <n v="3311"/>
    <s v="Tiago Martins"/>
    <s v="Core"/>
    <x v="79"/>
    <x v="0"/>
    <n v="5"/>
    <x v="0"/>
    <s v="No"/>
    <s v="-"/>
    <x v="1"/>
    <n v="0"/>
    <x v="4"/>
    <n v="4"/>
  </r>
  <r>
    <n v="3312"/>
    <s v="Ulysses Guimarães"/>
    <s v="Ultimate"/>
    <x v="80"/>
    <x v="1"/>
    <n v="15"/>
    <x v="2"/>
    <s v="Yes"/>
    <n v="30"/>
    <x v="0"/>
    <n v="20"/>
    <x v="10"/>
    <n v="58"/>
  </r>
  <r>
    <n v="3313"/>
    <s v="Vanessa Silva"/>
    <s v="Standard"/>
    <x v="81"/>
    <x v="0"/>
    <n v="10"/>
    <x v="0"/>
    <s v="No"/>
    <s v="-"/>
    <x v="0"/>
    <n v="20"/>
    <x v="2"/>
    <n v="20"/>
  </r>
  <r>
    <n v="3314"/>
    <s v="William Carneiro"/>
    <s v="Core"/>
    <x v="82"/>
    <x v="1"/>
    <n v="5"/>
    <x v="1"/>
    <s v="No"/>
    <s v="-"/>
    <x v="1"/>
    <n v="0"/>
    <x v="1"/>
    <n v="5"/>
  </r>
  <r>
    <n v="3315"/>
    <s v="Ximena Rocha"/>
    <s v="Ultimate"/>
    <x v="83"/>
    <x v="0"/>
    <n v="15"/>
    <x v="0"/>
    <s v="Yes"/>
    <n v="30"/>
    <x v="0"/>
    <n v="20"/>
    <x v="7"/>
    <n v="45"/>
  </r>
  <r>
    <n v="3316"/>
    <s v="Yasmin Figueiredo"/>
    <s v="Standard"/>
    <x v="84"/>
    <x v="1"/>
    <n v="10"/>
    <x v="2"/>
    <s v="No"/>
    <s v="-"/>
    <x v="0"/>
    <n v="20"/>
    <x v="6"/>
    <n v="15"/>
  </r>
  <r>
    <n v="3317"/>
    <s v="Zara Cunha"/>
    <s v="Core"/>
    <x v="85"/>
    <x v="0"/>
    <n v="5"/>
    <x v="0"/>
    <s v="No"/>
    <s v="-"/>
    <x v="1"/>
    <n v="0"/>
    <x v="4"/>
    <n v="4"/>
  </r>
  <r>
    <n v="3318"/>
    <s v="Alan Teixeira"/>
    <s v="Ultimate"/>
    <x v="86"/>
    <x v="1"/>
    <n v="15"/>
    <x v="1"/>
    <s v="Yes"/>
    <n v="30"/>
    <x v="0"/>
    <n v="20"/>
    <x v="3"/>
    <n v="62"/>
  </r>
  <r>
    <n v="3319"/>
    <s v="Bárbara Oliveira"/>
    <s v="Standard"/>
    <x v="87"/>
    <x v="0"/>
    <n v="10"/>
    <x v="0"/>
    <s v="No"/>
    <s v="-"/>
    <x v="0"/>
    <n v="20"/>
    <x v="2"/>
    <n v="20"/>
  </r>
  <r>
    <n v="3320"/>
    <s v="Carlos Junqueira"/>
    <s v="Core"/>
    <x v="88"/>
    <x v="1"/>
    <n v="5"/>
    <x v="2"/>
    <s v="No"/>
    <s v="-"/>
    <x v="1"/>
    <n v="0"/>
    <x v="1"/>
    <n v="5"/>
  </r>
  <r>
    <n v="3321"/>
    <s v="Daniela Moura"/>
    <s v="Ultimate"/>
    <x v="89"/>
    <x v="0"/>
    <n v="15"/>
    <x v="0"/>
    <s v="Yes"/>
    <n v="30"/>
    <x v="0"/>
    <n v="20"/>
    <x v="0"/>
    <n v="60"/>
  </r>
  <r>
    <n v="3322"/>
    <s v="Eduardo Lima"/>
    <s v="Standard"/>
    <x v="90"/>
    <x v="1"/>
    <n v="10"/>
    <x v="1"/>
    <s v="No"/>
    <s v="-"/>
    <x v="0"/>
    <n v="20"/>
    <x v="6"/>
    <n v="15"/>
  </r>
  <r>
    <n v="3323"/>
    <s v="Fabiana Araújo"/>
    <s v="Core"/>
    <x v="91"/>
    <x v="0"/>
    <n v="5"/>
    <x v="0"/>
    <s v="No"/>
    <s v="-"/>
    <x v="1"/>
    <n v="0"/>
    <x v="4"/>
    <n v="4"/>
  </r>
  <r>
    <n v="3324"/>
    <s v="Geraldo Ribeiro"/>
    <s v="Ultimate"/>
    <x v="92"/>
    <x v="1"/>
    <n v="15"/>
    <x v="2"/>
    <s v="Yes"/>
    <n v="30"/>
    <x v="0"/>
    <n v="20"/>
    <x v="7"/>
    <n v="45"/>
  </r>
  <r>
    <n v="3325"/>
    <s v="Héctor Vargas"/>
    <s v="Standard"/>
    <x v="93"/>
    <x v="0"/>
    <n v="10"/>
    <x v="2"/>
    <s v="No"/>
    <s v="-"/>
    <x v="0"/>
    <n v="20"/>
    <x v="6"/>
    <n v="15"/>
  </r>
  <r>
    <n v="3326"/>
    <s v="Isabela Fonseca"/>
    <s v="Core"/>
    <x v="94"/>
    <x v="1"/>
    <n v="5"/>
    <x v="1"/>
    <s v="No"/>
    <s v="-"/>
    <x v="1"/>
    <n v="0"/>
    <x v="1"/>
    <n v="5"/>
  </r>
  <r>
    <n v="3327"/>
    <s v="João Pedro Almeida"/>
    <s v="Ultimate"/>
    <x v="95"/>
    <x v="0"/>
    <n v="15"/>
    <x v="0"/>
    <s v="Yes"/>
    <n v="30"/>
    <x v="0"/>
    <n v="20"/>
    <x v="10"/>
    <n v="58"/>
  </r>
  <r>
    <n v="3328"/>
    <s v="Klara Costa"/>
    <s v="Standard"/>
    <x v="96"/>
    <x v="1"/>
    <n v="10"/>
    <x v="1"/>
    <s v="No"/>
    <s v="-"/>
    <x v="0"/>
    <n v="20"/>
    <x v="2"/>
    <n v="20"/>
  </r>
  <r>
    <n v="3329"/>
    <s v="Luciana Mendes"/>
    <s v="Core"/>
    <x v="97"/>
    <x v="0"/>
    <n v="5"/>
    <x v="2"/>
    <s v="No"/>
    <s v="-"/>
    <x v="1"/>
    <n v="0"/>
    <x v="4"/>
    <n v="4"/>
  </r>
  <r>
    <n v="3330"/>
    <s v="Marcelo Gouveia"/>
    <s v="Ultimate"/>
    <x v="98"/>
    <x v="1"/>
    <n v="15"/>
    <x v="0"/>
    <s v="Yes"/>
    <n v="30"/>
    <x v="0"/>
    <n v="20"/>
    <x v="6"/>
    <n v="50"/>
  </r>
  <r>
    <n v="3331"/>
    <s v="Nívea Borges"/>
    <s v="Standard"/>
    <x v="99"/>
    <x v="0"/>
    <n v="10"/>
    <x v="0"/>
    <s v="No"/>
    <s v="-"/>
    <x v="0"/>
    <n v="20"/>
    <x v="0"/>
    <n v="25"/>
  </r>
  <r>
    <n v="3332"/>
    <s v="Oscar Nogueira"/>
    <s v="Core"/>
    <x v="100"/>
    <x v="1"/>
    <n v="5"/>
    <x v="1"/>
    <s v="No"/>
    <s v="-"/>
    <x v="1"/>
    <n v="0"/>
    <x v="1"/>
    <n v="5"/>
  </r>
  <r>
    <n v="3333"/>
    <s v="Patrícia Alves"/>
    <s v="Ultimate"/>
    <x v="101"/>
    <x v="0"/>
    <n v="15"/>
    <x v="2"/>
    <s v="Yes"/>
    <n v="30"/>
    <x v="0"/>
    <n v="20"/>
    <x v="7"/>
    <n v="45"/>
  </r>
  <r>
    <n v="3334"/>
    <s v="Rafaela Silva"/>
    <s v="Standard"/>
    <x v="102"/>
    <x v="1"/>
    <n v="10"/>
    <x v="2"/>
    <s v="No"/>
    <s v="-"/>
    <x v="0"/>
    <n v="20"/>
    <x v="9"/>
    <n v="18"/>
  </r>
  <r>
    <n v="3335"/>
    <s v="Samantha Moraes"/>
    <s v="Core"/>
    <x v="103"/>
    <x v="0"/>
    <n v="5"/>
    <x v="0"/>
    <s v="No"/>
    <s v="-"/>
    <x v="1"/>
    <n v="0"/>
    <x v="5"/>
    <n v="3"/>
  </r>
  <r>
    <n v="3336"/>
    <s v="Tatiana Rocha"/>
    <s v="Core"/>
    <x v="104"/>
    <x v="0"/>
    <n v="5"/>
    <x v="0"/>
    <s v="No"/>
    <s v="-"/>
    <x v="1"/>
    <n v="0"/>
    <x v="1"/>
    <n v="5"/>
  </r>
  <r>
    <n v="3337"/>
    <s v="Ulisses Tavares"/>
    <s v="Ultimate"/>
    <x v="105"/>
    <x v="1"/>
    <n v="15"/>
    <x v="2"/>
    <s v="Yes"/>
    <n v="30"/>
    <x v="0"/>
    <n v="20"/>
    <x v="10"/>
    <n v="58"/>
  </r>
  <r>
    <n v="3338"/>
    <s v="Víctor Lemos"/>
    <s v="Standard"/>
    <x v="106"/>
    <x v="0"/>
    <n v="10"/>
    <x v="1"/>
    <s v="No"/>
    <s v="-"/>
    <x v="0"/>
    <n v="20"/>
    <x v="2"/>
    <n v="20"/>
  </r>
  <r>
    <n v="3339"/>
    <s v="Wilma Barros"/>
    <s v="Core"/>
    <x v="107"/>
    <x v="1"/>
    <n v="5"/>
    <x v="2"/>
    <s v="No"/>
    <s v="-"/>
    <x v="1"/>
    <n v="0"/>
    <x v="4"/>
    <n v="4"/>
  </r>
  <r>
    <n v="3340"/>
    <s v="Xavier Nascimento"/>
    <s v="Ultimate"/>
    <x v="108"/>
    <x v="0"/>
    <n v="15"/>
    <x v="0"/>
    <s v="Yes"/>
    <n v="30"/>
    <x v="0"/>
    <n v="20"/>
    <x v="6"/>
    <n v="50"/>
  </r>
  <r>
    <n v="3341"/>
    <s v="Yago Pereira"/>
    <s v="Standard"/>
    <x v="109"/>
    <x v="1"/>
    <n v="10"/>
    <x v="0"/>
    <s v="No"/>
    <s v="-"/>
    <x v="0"/>
    <n v="20"/>
    <x v="0"/>
    <n v="25"/>
  </r>
  <r>
    <n v="3342"/>
    <s v="Zilda Ferreira"/>
    <s v="Core"/>
    <x v="110"/>
    <x v="0"/>
    <n v="5"/>
    <x v="1"/>
    <s v="No"/>
    <s v="-"/>
    <x v="1"/>
    <n v="0"/>
    <x v="1"/>
    <n v="5"/>
  </r>
  <r>
    <n v="3343"/>
    <s v="Amanda Lopes"/>
    <s v="Ultimate"/>
    <x v="111"/>
    <x v="1"/>
    <n v="15"/>
    <x v="2"/>
    <s v="Yes"/>
    <n v="30"/>
    <x v="0"/>
    <n v="20"/>
    <x v="7"/>
    <n v="45"/>
  </r>
  <r>
    <n v="3344"/>
    <s v="Bruno Miranda"/>
    <s v="Standard"/>
    <x v="112"/>
    <x v="0"/>
    <n v="10"/>
    <x v="2"/>
    <s v="No"/>
    <s v="-"/>
    <x v="0"/>
    <n v="20"/>
    <x v="9"/>
    <n v="18"/>
  </r>
  <r>
    <n v="3345"/>
    <s v="Célia Torres"/>
    <s v="Core"/>
    <x v="113"/>
    <x v="1"/>
    <n v="5"/>
    <x v="0"/>
    <s v="No"/>
    <s v="-"/>
    <x v="1"/>
    <n v="0"/>
    <x v="5"/>
    <n v="3"/>
  </r>
  <r>
    <n v="3346"/>
    <s v="Diogo Souza"/>
    <s v="Ultimate"/>
    <x v="114"/>
    <x v="0"/>
    <n v="15"/>
    <x v="1"/>
    <s v="Yes"/>
    <n v="30"/>
    <x v="0"/>
    <n v="20"/>
    <x v="0"/>
    <n v="60"/>
  </r>
  <r>
    <n v="3347"/>
    <s v="Elisa Castro"/>
    <s v="Standard"/>
    <x v="115"/>
    <x v="1"/>
    <n v="10"/>
    <x v="0"/>
    <s v="No"/>
    <s v="-"/>
    <x v="0"/>
    <n v="20"/>
    <x v="2"/>
    <n v="20"/>
  </r>
  <r>
    <n v="3348"/>
    <s v="Fátima Lima"/>
    <s v="Core"/>
    <x v="116"/>
    <x v="0"/>
    <n v="5"/>
    <x v="2"/>
    <s v="No"/>
    <s v="-"/>
    <x v="1"/>
    <n v="0"/>
    <x v="1"/>
    <n v="5"/>
  </r>
  <r>
    <n v="3349"/>
    <s v="Geraldo Ribeiro"/>
    <s v="Ultimate"/>
    <x v="117"/>
    <x v="1"/>
    <n v="15"/>
    <x v="0"/>
    <s v="Yes"/>
    <n v="30"/>
    <x v="0"/>
    <n v="20"/>
    <x v="3"/>
    <n v="62"/>
  </r>
  <r>
    <n v="3350"/>
    <s v="Hélio Martins"/>
    <s v="Standard"/>
    <x v="118"/>
    <x v="0"/>
    <n v="10"/>
    <x v="1"/>
    <s v="No"/>
    <s v="-"/>
    <x v="0"/>
    <n v="20"/>
    <x v="6"/>
    <n v="15"/>
  </r>
  <r>
    <n v="3351"/>
    <s v="Íris Santos"/>
    <s v="Core"/>
    <x v="119"/>
    <x v="1"/>
    <n v="5"/>
    <x v="0"/>
    <s v="No"/>
    <s v="-"/>
    <x v="1"/>
    <n v="0"/>
    <x v="4"/>
    <n v="4"/>
  </r>
  <r>
    <n v="3352"/>
    <s v="João Marcelo"/>
    <s v="Ultimate"/>
    <x v="120"/>
    <x v="0"/>
    <n v="15"/>
    <x v="2"/>
    <s v="Yes"/>
    <n v="30"/>
    <x v="0"/>
    <n v="20"/>
    <x v="10"/>
    <n v="58"/>
  </r>
  <r>
    <n v="3353"/>
    <s v="Larissa Gomes"/>
    <s v="Standard"/>
    <x v="121"/>
    <x v="1"/>
    <n v="10"/>
    <x v="0"/>
    <s v="No"/>
    <s v="-"/>
    <x v="0"/>
    <n v="20"/>
    <x v="2"/>
    <n v="20"/>
  </r>
  <r>
    <n v="3354"/>
    <s v="Márcio Silva"/>
    <s v="Core"/>
    <x v="122"/>
    <x v="0"/>
    <n v="5"/>
    <x v="1"/>
    <s v="No"/>
    <s v="-"/>
    <x v="1"/>
    <n v="0"/>
    <x v="1"/>
    <n v="5"/>
  </r>
  <r>
    <n v="3355"/>
    <s v="Nadia Costa"/>
    <s v="Ultimate"/>
    <x v="123"/>
    <x v="1"/>
    <n v="15"/>
    <x v="0"/>
    <s v="Yes"/>
    <n v="30"/>
    <x v="0"/>
    <n v="20"/>
    <x v="7"/>
    <n v="45"/>
  </r>
  <r>
    <n v="3356"/>
    <s v="Oscar Almeida"/>
    <s v="Standard"/>
    <x v="124"/>
    <x v="0"/>
    <n v="10"/>
    <x v="2"/>
    <s v="No"/>
    <s v="-"/>
    <x v="0"/>
    <n v="20"/>
    <x v="6"/>
    <n v="15"/>
  </r>
  <r>
    <n v="3357"/>
    <s v="Patricia Soares"/>
    <s v="Core"/>
    <x v="125"/>
    <x v="1"/>
    <n v="5"/>
    <x v="0"/>
    <s v="No"/>
    <s v="-"/>
    <x v="1"/>
    <n v="0"/>
    <x v="4"/>
    <n v="4"/>
  </r>
  <r>
    <n v="3358"/>
    <s v="Quênia Barros"/>
    <s v="Ultimate"/>
    <x v="126"/>
    <x v="0"/>
    <n v="15"/>
    <x v="1"/>
    <s v="Yes"/>
    <n v="30"/>
    <x v="0"/>
    <n v="20"/>
    <x v="3"/>
    <n v="62"/>
  </r>
  <r>
    <n v="3359"/>
    <s v="Rafael Torres"/>
    <s v="Standard"/>
    <x v="127"/>
    <x v="1"/>
    <n v="10"/>
    <x v="0"/>
    <s v="No"/>
    <s v="-"/>
    <x v="0"/>
    <n v="20"/>
    <x v="2"/>
    <n v="20"/>
  </r>
  <r>
    <n v="3360"/>
    <s v="Silvia Nascimento"/>
    <s v="Core"/>
    <x v="128"/>
    <x v="0"/>
    <n v="5"/>
    <x v="2"/>
    <s v="No"/>
    <s v="-"/>
    <x v="1"/>
    <n v="0"/>
    <x v="1"/>
    <n v="5"/>
  </r>
  <r>
    <n v="3361"/>
    <s v="Tiago Mendes"/>
    <s v="Ultimate"/>
    <x v="129"/>
    <x v="1"/>
    <n v="15"/>
    <x v="0"/>
    <s v="Yes"/>
    <n v="30"/>
    <x v="0"/>
    <n v="20"/>
    <x v="6"/>
    <n v="50"/>
  </r>
  <r>
    <n v="3362"/>
    <s v="Ursula Silva"/>
    <s v="Standard"/>
    <x v="130"/>
    <x v="0"/>
    <n v="10"/>
    <x v="1"/>
    <s v="No"/>
    <s v="-"/>
    <x v="0"/>
    <n v="20"/>
    <x v="6"/>
    <n v="15"/>
  </r>
  <r>
    <n v="3363"/>
    <s v="Vanessa Moraes"/>
    <s v="Core"/>
    <x v="131"/>
    <x v="1"/>
    <n v="5"/>
    <x v="0"/>
    <s v="No"/>
    <s v="-"/>
    <x v="1"/>
    <n v="0"/>
    <x v="4"/>
    <n v="4"/>
  </r>
  <r>
    <n v="3364"/>
    <s v="Waldir Junior"/>
    <s v="Ultimate"/>
    <x v="132"/>
    <x v="0"/>
    <n v="15"/>
    <x v="2"/>
    <s v="Yes"/>
    <n v="30"/>
    <x v="0"/>
    <n v="20"/>
    <x v="10"/>
    <n v="58"/>
  </r>
  <r>
    <n v="3365"/>
    <s v="Xavier Lopes"/>
    <s v="Standard"/>
    <x v="133"/>
    <x v="1"/>
    <n v="10"/>
    <x v="0"/>
    <s v="No"/>
    <s v="-"/>
    <x v="0"/>
    <n v="20"/>
    <x v="2"/>
    <n v="20"/>
  </r>
  <r>
    <n v="3366"/>
    <s v="Yolanda Freitas"/>
    <s v="Core"/>
    <x v="134"/>
    <x v="0"/>
    <n v="5"/>
    <x v="0"/>
    <s v="No"/>
    <s v="-"/>
    <x v="1"/>
    <n v="0"/>
    <x v="1"/>
    <n v="5"/>
  </r>
  <r>
    <n v="3367"/>
    <s v="Zacarias Nunes"/>
    <s v="Ultimate"/>
    <x v="135"/>
    <x v="1"/>
    <n v="15"/>
    <x v="2"/>
    <s v="Yes"/>
    <n v="30"/>
    <x v="0"/>
    <n v="20"/>
    <x v="10"/>
    <n v="58"/>
  </r>
  <r>
    <n v="3368"/>
    <s v="Ana Clara Barreto"/>
    <s v="Standard"/>
    <x v="136"/>
    <x v="0"/>
    <n v="10"/>
    <x v="1"/>
    <s v="No"/>
    <s v="-"/>
    <x v="0"/>
    <n v="20"/>
    <x v="2"/>
    <n v="20"/>
  </r>
  <r>
    <n v="3369"/>
    <s v="Bruno Henrique"/>
    <s v="Core"/>
    <x v="137"/>
    <x v="1"/>
    <n v="5"/>
    <x v="2"/>
    <s v="No"/>
    <s v="-"/>
    <x v="1"/>
    <n v="0"/>
    <x v="4"/>
    <n v="4"/>
  </r>
  <r>
    <n v="3370"/>
    <s v="Carlos Eduardo"/>
    <s v="Ultimate"/>
    <x v="138"/>
    <x v="0"/>
    <n v="15"/>
    <x v="0"/>
    <s v="Yes"/>
    <n v="30"/>
    <x v="0"/>
    <n v="20"/>
    <x v="6"/>
    <n v="50"/>
  </r>
  <r>
    <n v="3371"/>
    <s v="Débora Lima"/>
    <s v="Standard"/>
    <x v="139"/>
    <x v="1"/>
    <n v="10"/>
    <x v="0"/>
    <s v="No"/>
    <s v="-"/>
    <x v="0"/>
    <n v="20"/>
    <x v="0"/>
    <n v="25"/>
  </r>
  <r>
    <n v="3372"/>
    <s v="Elisa Neves"/>
    <s v="Core"/>
    <x v="140"/>
    <x v="0"/>
    <n v="5"/>
    <x v="1"/>
    <s v="No"/>
    <s v="-"/>
    <x v="1"/>
    <n v="0"/>
    <x v="1"/>
    <n v="5"/>
  </r>
  <r>
    <n v="3373"/>
    <s v="Fabiano Gomes"/>
    <s v="Ultimate"/>
    <x v="141"/>
    <x v="1"/>
    <n v="15"/>
    <x v="2"/>
    <s v="Yes"/>
    <n v="30"/>
    <x v="0"/>
    <n v="20"/>
    <x v="7"/>
    <n v="45"/>
  </r>
  <r>
    <n v="3374"/>
    <s v="Gisele Oliveira"/>
    <s v="Standard"/>
    <x v="142"/>
    <x v="0"/>
    <n v="10"/>
    <x v="2"/>
    <s v="No"/>
    <s v="-"/>
    <x v="0"/>
    <n v="20"/>
    <x v="9"/>
    <n v="18"/>
  </r>
  <r>
    <n v="3375"/>
    <s v="Héctor Silva"/>
    <s v="Core"/>
    <x v="143"/>
    <x v="1"/>
    <n v="5"/>
    <x v="0"/>
    <s v="No"/>
    <s v="-"/>
    <x v="1"/>
    <n v="0"/>
    <x v="5"/>
    <n v="3"/>
  </r>
  <r>
    <n v="3376"/>
    <s v="Igor Martins"/>
    <s v="Ultimate"/>
    <x v="144"/>
    <x v="0"/>
    <n v="15"/>
    <x v="1"/>
    <s v="Yes"/>
    <n v="30"/>
    <x v="0"/>
    <n v="20"/>
    <x v="0"/>
    <n v="60"/>
  </r>
  <r>
    <n v="3377"/>
    <s v="Joana Figueiredo"/>
    <s v="Standard"/>
    <x v="145"/>
    <x v="1"/>
    <n v="10"/>
    <x v="0"/>
    <s v="No"/>
    <s v="-"/>
    <x v="0"/>
    <n v="20"/>
    <x v="2"/>
    <n v="20"/>
  </r>
  <r>
    <n v="3378"/>
    <s v="Kleber Machado"/>
    <s v="Core"/>
    <x v="146"/>
    <x v="0"/>
    <n v="5"/>
    <x v="2"/>
    <s v="No"/>
    <s v="-"/>
    <x v="1"/>
    <n v="0"/>
    <x v="1"/>
    <n v="5"/>
  </r>
  <r>
    <n v="3379"/>
    <s v="Luciana Santos"/>
    <s v="Ultimate"/>
    <x v="147"/>
    <x v="1"/>
    <n v="15"/>
    <x v="0"/>
    <s v="Yes"/>
    <n v="30"/>
    <x v="0"/>
    <n v="20"/>
    <x v="3"/>
    <n v="62"/>
  </r>
  <r>
    <n v="3380"/>
    <s v="Marcos Teixeira"/>
    <s v="Standard"/>
    <x v="148"/>
    <x v="0"/>
    <n v="10"/>
    <x v="1"/>
    <s v="No"/>
    <s v="-"/>
    <x v="0"/>
    <n v="20"/>
    <x v="6"/>
    <n v="15"/>
  </r>
  <r>
    <n v="3381"/>
    <s v="Natalia Costa"/>
    <s v="Core"/>
    <x v="149"/>
    <x v="1"/>
    <n v="5"/>
    <x v="0"/>
    <s v="No"/>
    <s v="-"/>
    <x v="1"/>
    <n v="0"/>
    <x v="4"/>
    <n v="4"/>
  </r>
  <r>
    <n v="3382"/>
    <s v="Oscar Ribeiro"/>
    <s v="Ultimate"/>
    <x v="150"/>
    <x v="0"/>
    <n v="15"/>
    <x v="2"/>
    <s v="Yes"/>
    <n v="30"/>
    <x v="0"/>
    <n v="20"/>
    <x v="10"/>
    <n v="58"/>
  </r>
  <r>
    <n v="3383"/>
    <s v="Patricia Almeida"/>
    <s v="Standard"/>
    <x v="151"/>
    <x v="1"/>
    <n v="10"/>
    <x v="0"/>
    <s v="No"/>
    <s v="-"/>
    <x v="0"/>
    <n v="20"/>
    <x v="2"/>
    <n v="20"/>
  </r>
  <r>
    <n v="3384"/>
    <s v="Quirino Junior"/>
    <s v="Core"/>
    <x v="152"/>
    <x v="0"/>
    <n v="5"/>
    <x v="1"/>
    <s v="No"/>
    <s v="-"/>
    <x v="1"/>
    <n v="0"/>
    <x v="1"/>
    <n v="5"/>
  </r>
  <r>
    <n v="3385"/>
    <s v="Renata Machado"/>
    <s v="Ultimate"/>
    <x v="153"/>
    <x v="1"/>
    <n v="15"/>
    <x v="0"/>
    <s v="Yes"/>
    <n v="30"/>
    <x v="0"/>
    <n v="20"/>
    <x v="7"/>
    <n v="45"/>
  </r>
  <r>
    <n v="3386"/>
    <s v="Sônia Alves"/>
    <s v="Standard"/>
    <x v="154"/>
    <x v="0"/>
    <n v="10"/>
    <x v="2"/>
    <s v="No"/>
    <s v="-"/>
    <x v="0"/>
    <n v="20"/>
    <x v="6"/>
    <n v="15"/>
  </r>
  <r>
    <n v="3387"/>
    <s v="Tiago Nunes"/>
    <s v="Core"/>
    <x v="155"/>
    <x v="1"/>
    <n v="5"/>
    <x v="0"/>
    <s v="No"/>
    <s v="-"/>
    <x v="1"/>
    <n v="0"/>
    <x v="4"/>
    <n v="4"/>
  </r>
  <r>
    <n v="3388"/>
    <s v="Ulysses Pereira"/>
    <s v="Ultimate"/>
    <x v="156"/>
    <x v="0"/>
    <n v="15"/>
    <x v="1"/>
    <s v="Yes"/>
    <n v="30"/>
    <x v="0"/>
    <n v="20"/>
    <x v="3"/>
    <n v="62"/>
  </r>
  <r>
    <n v="3389"/>
    <s v="Vanessa Lima"/>
    <s v="Standard"/>
    <x v="157"/>
    <x v="1"/>
    <n v="10"/>
    <x v="0"/>
    <s v="No"/>
    <s v="-"/>
    <x v="0"/>
    <n v="20"/>
    <x v="2"/>
    <n v="20"/>
  </r>
  <r>
    <n v="3390"/>
    <s v="Wagner Santos"/>
    <s v="Core"/>
    <x v="158"/>
    <x v="0"/>
    <n v="5"/>
    <x v="2"/>
    <s v="No"/>
    <s v="-"/>
    <x v="1"/>
    <n v="0"/>
    <x v="1"/>
    <n v="5"/>
  </r>
  <r>
    <n v="3391"/>
    <s v="Xuxa Meneghel"/>
    <s v="Ultimate"/>
    <x v="159"/>
    <x v="1"/>
    <n v="15"/>
    <x v="0"/>
    <s v="Yes"/>
    <n v="30"/>
    <x v="0"/>
    <n v="20"/>
    <x v="6"/>
    <n v="50"/>
  </r>
  <r>
    <n v="3392"/>
    <s v="Yasmin Silva"/>
    <s v="Standard"/>
    <x v="160"/>
    <x v="0"/>
    <n v="10"/>
    <x v="1"/>
    <s v="No"/>
    <s v="-"/>
    <x v="0"/>
    <n v="20"/>
    <x v="6"/>
    <n v="15"/>
  </r>
  <r>
    <n v="3393"/>
    <s v="Zacarias de Souza"/>
    <s v="Core"/>
    <x v="161"/>
    <x v="1"/>
    <n v="5"/>
    <x v="0"/>
    <s v="No"/>
    <s v="-"/>
    <x v="1"/>
    <n v="0"/>
    <x v="4"/>
    <n v="4"/>
  </r>
  <r>
    <n v="3394"/>
    <s v="André Lima"/>
    <s v="Ultimate"/>
    <x v="162"/>
    <x v="0"/>
    <n v="15"/>
    <x v="2"/>
    <s v="Yes"/>
    <n v="30"/>
    <x v="0"/>
    <n v="20"/>
    <x v="10"/>
    <n v="58"/>
  </r>
  <r>
    <n v="3395"/>
    <s v="Bianca Freitas"/>
    <s v="Standard"/>
    <x v="163"/>
    <x v="1"/>
    <n v="10"/>
    <x v="0"/>
    <s v="No"/>
    <s v="-"/>
    <x v="0"/>
    <n v="20"/>
    <x v="2"/>
    <n v="20"/>
  </r>
  <r>
    <n v="3396"/>
    <s v="Caio Mendes"/>
    <s v="Core"/>
    <x v="164"/>
    <x v="0"/>
    <n v="5"/>
    <x v="1"/>
    <s v="No"/>
    <s v="-"/>
    <x v="1"/>
    <n v="0"/>
    <x v="1"/>
    <n v="5"/>
  </r>
  <r>
    <n v="3397"/>
    <s v="Daniela Moura"/>
    <s v="Ultimate"/>
    <x v="165"/>
    <x v="1"/>
    <n v="15"/>
    <x v="0"/>
    <s v="Yes"/>
    <n v="30"/>
    <x v="0"/>
    <n v="20"/>
    <x v="7"/>
    <n v="45"/>
  </r>
  <r>
    <n v="3398"/>
    <s v="Eduardo Costa"/>
    <s v="Standard"/>
    <x v="166"/>
    <x v="0"/>
    <n v="10"/>
    <x v="2"/>
    <s v="No"/>
    <s v="-"/>
    <x v="0"/>
    <n v="20"/>
    <x v="6"/>
    <n v="15"/>
  </r>
  <r>
    <n v="3399"/>
    <s v="Fernanda Gomes"/>
    <s v="Core"/>
    <x v="167"/>
    <x v="1"/>
    <n v="5"/>
    <x v="0"/>
    <s v="No"/>
    <s v="-"/>
    <x v="1"/>
    <n v="0"/>
    <x v="4"/>
    <n v="4"/>
  </r>
  <r>
    <n v="3400"/>
    <s v="Guilherme Souza"/>
    <s v="Ultimate"/>
    <x v="168"/>
    <x v="0"/>
    <n v="15"/>
    <x v="1"/>
    <s v="Yes"/>
    <n v="30"/>
    <x v="0"/>
    <n v="20"/>
    <x v="0"/>
    <n v="60"/>
  </r>
  <r>
    <n v="3401"/>
    <s v="Helena Ribeiro"/>
    <s v="Standard"/>
    <x v="169"/>
    <x v="1"/>
    <n v="10"/>
    <x v="0"/>
    <s v="No"/>
    <s v="-"/>
    <x v="0"/>
    <n v="20"/>
    <x v="2"/>
    <n v="20"/>
  </r>
  <r>
    <n v="3402"/>
    <s v="Igor Santos"/>
    <s v="Core"/>
    <x v="170"/>
    <x v="0"/>
    <n v="5"/>
    <x v="2"/>
    <s v="No"/>
    <s v="-"/>
    <x v="1"/>
    <n v="0"/>
    <x v="1"/>
    <n v="5"/>
  </r>
  <r>
    <n v="3403"/>
    <s v="João Carvalho"/>
    <s v="Ultimate"/>
    <x v="171"/>
    <x v="1"/>
    <n v="15"/>
    <x v="0"/>
    <s v="Yes"/>
    <n v="30"/>
    <x v="0"/>
    <n v="20"/>
    <x v="3"/>
    <n v="62"/>
  </r>
  <r>
    <n v="3404"/>
    <s v="Klara Fagundes"/>
    <s v="Standard"/>
    <x v="172"/>
    <x v="0"/>
    <n v="10"/>
    <x v="1"/>
    <s v="No"/>
    <s v="-"/>
    <x v="0"/>
    <n v="20"/>
    <x v="6"/>
    <n v="15"/>
  </r>
  <r>
    <n v="3405"/>
    <s v="Lúcia Mendonça"/>
    <s v="Core"/>
    <x v="173"/>
    <x v="1"/>
    <n v="5"/>
    <x v="0"/>
    <s v="No"/>
    <s v="-"/>
    <x v="1"/>
    <n v="0"/>
    <x v="4"/>
    <n v="4"/>
  </r>
  <r>
    <n v="3406"/>
    <s v="Marcelo Novaes"/>
    <s v="Core"/>
    <x v="174"/>
    <x v="0"/>
    <n v="5"/>
    <x v="0"/>
    <s v="No"/>
    <s v="-"/>
    <x v="1"/>
    <n v="0"/>
    <x v="1"/>
    <n v="5"/>
  </r>
  <r>
    <n v="3407"/>
    <s v="Nina Pacheco"/>
    <s v="Ultimate"/>
    <x v="175"/>
    <x v="1"/>
    <n v="15"/>
    <x v="2"/>
    <s v="Yes"/>
    <n v="30"/>
    <x v="0"/>
    <n v="20"/>
    <x v="10"/>
    <n v="58"/>
  </r>
  <r>
    <n v="3408"/>
    <s v="Olívia Rios"/>
    <s v="Standard"/>
    <x v="176"/>
    <x v="0"/>
    <n v="10"/>
    <x v="1"/>
    <s v="No"/>
    <s v="-"/>
    <x v="0"/>
    <n v="20"/>
    <x v="2"/>
    <n v="20"/>
  </r>
  <r>
    <n v="3409"/>
    <s v="Paulo Quintana"/>
    <s v="Core"/>
    <x v="177"/>
    <x v="1"/>
    <n v="5"/>
    <x v="2"/>
    <s v="No"/>
    <s v="-"/>
    <x v="1"/>
    <n v="0"/>
    <x v="4"/>
    <n v="4"/>
  </r>
  <r>
    <n v="3410"/>
    <s v="Raquel Domingos"/>
    <s v="Ultimate"/>
    <x v="178"/>
    <x v="0"/>
    <n v="15"/>
    <x v="0"/>
    <s v="Yes"/>
    <n v="30"/>
    <x v="0"/>
    <n v="20"/>
    <x v="6"/>
    <n v="50"/>
  </r>
  <r>
    <n v="3411"/>
    <s v="Samuel Viana"/>
    <s v="Standard"/>
    <x v="179"/>
    <x v="1"/>
    <n v="10"/>
    <x v="0"/>
    <s v="No"/>
    <s v="-"/>
    <x v="0"/>
    <n v="20"/>
    <x v="0"/>
    <n v="25"/>
  </r>
  <r>
    <n v="3412"/>
    <s v="Tatiane Rocha"/>
    <s v="Core"/>
    <x v="180"/>
    <x v="0"/>
    <n v="5"/>
    <x v="1"/>
    <s v="No"/>
    <s v="-"/>
    <x v="1"/>
    <n v="0"/>
    <x v="1"/>
    <n v="5"/>
  </r>
  <r>
    <n v="3413"/>
    <s v="Ulysses Farias"/>
    <s v="Ultimate"/>
    <x v="181"/>
    <x v="1"/>
    <n v="15"/>
    <x v="2"/>
    <s v="Yes"/>
    <n v="30"/>
    <x v="0"/>
    <n v="20"/>
    <x v="7"/>
    <n v="45"/>
  </r>
  <r>
    <n v="3414"/>
    <s v="Vanessa Moreira"/>
    <s v="Standard"/>
    <x v="182"/>
    <x v="0"/>
    <n v="10"/>
    <x v="2"/>
    <s v="No"/>
    <s v="-"/>
    <x v="0"/>
    <n v="20"/>
    <x v="9"/>
    <n v="18"/>
  </r>
  <r>
    <n v="3415"/>
    <s v="William Carvalho"/>
    <s v="Core"/>
    <x v="183"/>
    <x v="1"/>
    <n v="5"/>
    <x v="0"/>
    <s v="No"/>
    <s v="-"/>
    <x v="1"/>
    <n v="0"/>
    <x v="5"/>
    <n v="3"/>
  </r>
  <r>
    <n v="3416"/>
    <s v="Ximena Barros"/>
    <s v="Ultimate"/>
    <x v="184"/>
    <x v="0"/>
    <n v="15"/>
    <x v="1"/>
    <s v="Yes"/>
    <n v="30"/>
    <x v="0"/>
    <n v="20"/>
    <x v="0"/>
    <n v="60"/>
  </r>
  <r>
    <n v="3417"/>
    <s v="Yara Machado"/>
    <s v="Standard"/>
    <x v="185"/>
    <x v="1"/>
    <n v="10"/>
    <x v="0"/>
    <s v="No"/>
    <s v="-"/>
    <x v="0"/>
    <n v="20"/>
    <x v="2"/>
    <n v="20"/>
  </r>
  <r>
    <n v="3418"/>
    <s v="Zacarias Costa"/>
    <s v="Core"/>
    <x v="186"/>
    <x v="0"/>
    <n v="5"/>
    <x v="2"/>
    <s v="No"/>
    <s v="-"/>
    <x v="1"/>
    <n v="0"/>
    <x v="1"/>
    <n v="5"/>
  </r>
  <r>
    <n v="3419"/>
    <s v="André Lopes"/>
    <s v="Ultimate"/>
    <x v="187"/>
    <x v="1"/>
    <n v="15"/>
    <x v="0"/>
    <s v="Yes"/>
    <n v="30"/>
    <x v="0"/>
    <n v="20"/>
    <x v="3"/>
    <n v="62"/>
  </r>
  <r>
    <n v="3420"/>
    <s v="Beatriz Souza"/>
    <s v="Standard"/>
    <x v="188"/>
    <x v="0"/>
    <n v="10"/>
    <x v="1"/>
    <s v="No"/>
    <s v="-"/>
    <x v="0"/>
    <n v="20"/>
    <x v="6"/>
    <n v="15"/>
  </r>
  <r>
    <n v="3421"/>
    <s v="Caio Pereira"/>
    <s v="Core"/>
    <x v="189"/>
    <x v="1"/>
    <n v="5"/>
    <x v="0"/>
    <s v="No"/>
    <s v="-"/>
    <x v="1"/>
    <n v="0"/>
    <x v="4"/>
    <n v="4"/>
  </r>
  <r>
    <n v="3422"/>
    <s v="Daniela Araújo"/>
    <s v="Ultimate"/>
    <x v="190"/>
    <x v="0"/>
    <n v="15"/>
    <x v="2"/>
    <s v="Yes"/>
    <n v="30"/>
    <x v="0"/>
    <n v="20"/>
    <x v="10"/>
    <n v="58"/>
  </r>
  <r>
    <n v="3423"/>
    <s v="Eduardo Santos"/>
    <s v="Standard"/>
    <x v="191"/>
    <x v="1"/>
    <n v="10"/>
    <x v="0"/>
    <s v="No"/>
    <s v="-"/>
    <x v="0"/>
    <n v="20"/>
    <x v="2"/>
    <n v="20"/>
  </r>
  <r>
    <n v="3424"/>
    <s v="Fernanda Lima"/>
    <s v="Core"/>
    <x v="192"/>
    <x v="0"/>
    <n v="5"/>
    <x v="1"/>
    <s v="No"/>
    <s v="-"/>
    <x v="1"/>
    <n v="0"/>
    <x v="1"/>
    <n v="5"/>
  </r>
  <r>
    <n v="3425"/>
    <s v="Gabriel Teixeira"/>
    <s v="Ultimate"/>
    <x v="193"/>
    <x v="1"/>
    <n v="15"/>
    <x v="0"/>
    <s v="Yes"/>
    <n v="30"/>
    <x v="0"/>
    <n v="20"/>
    <x v="7"/>
    <n v="45"/>
  </r>
  <r>
    <n v="3426"/>
    <s v="Helena Ribeiro"/>
    <s v="Standard"/>
    <x v="194"/>
    <x v="0"/>
    <n v="10"/>
    <x v="2"/>
    <s v="No"/>
    <s v="-"/>
    <x v="0"/>
    <n v="20"/>
    <x v="6"/>
    <n v="15"/>
  </r>
  <r>
    <n v="3427"/>
    <s v="Igor Mendes"/>
    <s v="Core"/>
    <x v="195"/>
    <x v="1"/>
    <n v="5"/>
    <x v="0"/>
    <s v="No"/>
    <s v="-"/>
    <x v="1"/>
    <n v="0"/>
    <x v="4"/>
    <n v="4"/>
  </r>
  <r>
    <n v="3428"/>
    <s v="Joana Silveira"/>
    <s v="Ultimate"/>
    <x v="196"/>
    <x v="0"/>
    <n v="15"/>
    <x v="1"/>
    <s v="Yes"/>
    <n v="30"/>
    <x v="0"/>
    <n v="20"/>
    <x v="3"/>
    <n v="62"/>
  </r>
  <r>
    <n v="3429"/>
    <s v="Lucas Martins"/>
    <s v="Standard"/>
    <x v="197"/>
    <x v="1"/>
    <n v="10"/>
    <x v="0"/>
    <s v="No"/>
    <s v="-"/>
    <x v="0"/>
    <n v="20"/>
    <x v="2"/>
    <n v="20"/>
  </r>
  <r>
    <n v="3430"/>
    <s v="Marcela Gouveia"/>
    <s v="Core"/>
    <x v="198"/>
    <x v="0"/>
    <n v="5"/>
    <x v="2"/>
    <s v="No"/>
    <s v="-"/>
    <x v="1"/>
    <n v="0"/>
    <x v="1"/>
    <n v="5"/>
  </r>
  <r>
    <n v="3431"/>
    <s v="Nicolas Borges"/>
    <s v="Ultimate"/>
    <x v="199"/>
    <x v="1"/>
    <n v="15"/>
    <x v="0"/>
    <s v="Yes"/>
    <n v="30"/>
    <x v="0"/>
    <n v="20"/>
    <x v="6"/>
    <n v="50"/>
  </r>
  <r>
    <n v="3432"/>
    <s v="Olivia Freitas"/>
    <s v="Standard"/>
    <x v="200"/>
    <x v="0"/>
    <n v="10"/>
    <x v="1"/>
    <s v="No"/>
    <s v="-"/>
    <x v="0"/>
    <n v="20"/>
    <x v="6"/>
    <n v="15"/>
  </r>
  <r>
    <n v="3433"/>
    <s v="Paulo Nogueira"/>
    <s v="Core"/>
    <x v="201"/>
    <x v="1"/>
    <n v="5"/>
    <x v="0"/>
    <s v="No"/>
    <s v="-"/>
    <x v="1"/>
    <n v="0"/>
    <x v="4"/>
    <n v="4"/>
  </r>
  <r>
    <n v="3434"/>
    <s v="Raquel Andrade"/>
    <s v="Ultimate"/>
    <x v="202"/>
    <x v="0"/>
    <n v="15"/>
    <x v="2"/>
    <s v="Yes"/>
    <n v="30"/>
    <x v="0"/>
    <n v="20"/>
    <x v="10"/>
    <n v="58"/>
  </r>
  <r>
    <n v="3435"/>
    <s v="Sônia Carvalho"/>
    <s v="Standard"/>
    <x v="203"/>
    <x v="1"/>
    <n v="10"/>
    <x v="0"/>
    <s v="No"/>
    <s v="-"/>
    <x v="0"/>
    <n v="20"/>
    <x v="2"/>
    <n v="20"/>
  </r>
  <r>
    <n v="3436"/>
    <s v="Tiago Rodrigues"/>
    <s v="Core"/>
    <x v="204"/>
    <x v="0"/>
    <n v="5"/>
    <x v="0"/>
    <s v="No"/>
    <s v="-"/>
    <x v="1"/>
    <n v="0"/>
    <x v="1"/>
    <n v="5"/>
  </r>
  <r>
    <n v="3437"/>
    <s v="Ursula Monteiro"/>
    <s v="Ultimate"/>
    <x v="205"/>
    <x v="1"/>
    <n v="15"/>
    <x v="2"/>
    <s v="Yes"/>
    <n v="30"/>
    <x v="0"/>
    <n v="20"/>
    <x v="10"/>
    <n v="58"/>
  </r>
  <r>
    <n v="3438"/>
    <s v="Vanessa Pereira"/>
    <s v="Standard"/>
    <x v="206"/>
    <x v="0"/>
    <n v="10"/>
    <x v="1"/>
    <s v="No"/>
    <s v="-"/>
    <x v="0"/>
    <n v="20"/>
    <x v="2"/>
    <n v="20"/>
  </r>
  <r>
    <n v="3439"/>
    <s v="Walter Silva"/>
    <s v="Core"/>
    <x v="207"/>
    <x v="1"/>
    <n v="5"/>
    <x v="2"/>
    <s v="No"/>
    <s v="-"/>
    <x v="1"/>
    <n v="0"/>
    <x v="4"/>
    <n v="4"/>
  </r>
  <r>
    <n v="3440"/>
    <s v="Xavier Almeida"/>
    <s v="Ultimate"/>
    <x v="208"/>
    <x v="0"/>
    <n v="15"/>
    <x v="0"/>
    <s v="Yes"/>
    <n v="30"/>
    <x v="0"/>
    <n v="20"/>
    <x v="6"/>
    <n v="50"/>
  </r>
  <r>
    <n v="3441"/>
    <s v="Yasmine Correia"/>
    <s v="Standard"/>
    <x v="209"/>
    <x v="1"/>
    <n v="10"/>
    <x v="0"/>
    <s v="No"/>
    <s v="-"/>
    <x v="0"/>
    <n v="20"/>
    <x v="0"/>
    <n v="25"/>
  </r>
  <r>
    <n v="3442"/>
    <s v="Zacarias Almeida"/>
    <s v="Core"/>
    <x v="210"/>
    <x v="0"/>
    <n v="5"/>
    <x v="1"/>
    <s v="No"/>
    <s v="-"/>
    <x v="1"/>
    <n v="0"/>
    <x v="1"/>
    <n v="5"/>
  </r>
  <r>
    <n v="3443"/>
    <s v="Amanda Costa"/>
    <s v="Ultimate"/>
    <x v="211"/>
    <x v="1"/>
    <n v="15"/>
    <x v="2"/>
    <s v="Yes"/>
    <n v="30"/>
    <x v="0"/>
    <n v="20"/>
    <x v="7"/>
    <n v="45"/>
  </r>
  <r>
    <n v="3444"/>
    <s v="Bruno Ferreira"/>
    <s v="Standard"/>
    <x v="212"/>
    <x v="0"/>
    <n v="10"/>
    <x v="2"/>
    <s v="No"/>
    <s v="-"/>
    <x v="0"/>
    <n v="20"/>
    <x v="9"/>
    <n v="18"/>
  </r>
  <r>
    <n v="3445"/>
    <s v="Carla Dias"/>
    <s v="Core"/>
    <x v="213"/>
    <x v="1"/>
    <n v="5"/>
    <x v="0"/>
    <s v="No"/>
    <s v="-"/>
    <x v="1"/>
    <n v="0"/>
    <x v="5"/>
    <n v="3"/>
  </r>
  <r>
    <n v="3446"/>
    <s v="Diogo Martins"/>
    <s v="Ultimate"/>
    <x v="214"/>
    <x v="0"/>
    <n v="15"/>
    <x v="1"/>
    <s v="Yes"/>
    <n v="30"/>
    <x v="0"/>
    <n v="20"/>
    <x v="0"/>
    <n v="60"/>
  </r>
  <r>
    <n v="3447"/>
    <s v="Elisa Campos"/>
    <s v="Standard"/>
    <x v="215"/>
    <x v="1"/>
    <n v="10"/>
    <x v="0"/>
    <s v="No"/>
    <s v="-"/>
    <x v="0"/>
    <n v="20"/>
    <x v="2"/>
    <n v="20"/>
  </r>
  <r>
    <n v="3448"/>
    <s v="Fabiana Lima"/>
    <s v="Core"/>
    <x v="216"/>
    <x v="0"/>
    <n v="5"/>
    <x v="2"/>
    <s v="No"/>
    <s v="-"/>
    <x v="1"/>
    <n v="0"/>
    <x v="1"/>
    <n v="5"/>
  </r>
  <r>
    <n v="3449"/>
    <s v="Gabriel Santos"/>
    <s v="Ultimate"/>
    <x v="217"/>
    <x v="1"/>
    <n v="15"/>
    <x v="0"/>
    <s v="Yes"/>
    <n v="30"/>
    <x v="0"/>
    <n v="20"/>
    <x v="3"/>
    <n v="62"/>
  </r>
  <r>
    <n v="3450"/>
    <s v="Helena Ferreira"/>
    <s v="Standard"/>
    <x v="218"/>
    <x v="0"/>
    <n v="10"/>
    <x v="1"/>
    <s v="No"/>
    <s v="-"/>
    <x v="0"/>
    <n v="20"/>
    <x v="6"/>
    <n v="15"/>
  </r>
  <r>
    <n v="3451"/>
    <s v="Ígor Nunes"/>
    <s v="Core"/>
    <x v="219"/>
    <x v="1"/>
    <n v="5"/>
    <x v="0"/>
    <s v="No"/>
    <s v="-"/>
    <x v="1"/>
    <n v="0"/>
    <x v="4"/>
    <n v="4"/>
  </r>
  <r>
    <n v="3452"/>
    <s v="Joana Silveira"/>
    <s v="Ultimate"/>
    <x v="220"/>
    <x v="0"/>
    <n v="15"/>
    <x v="2"/>
    <s v="Yes"/>
    <n v="30"/>
    <x v="0"/>
    <n v="20"/>
    <x v="10"/>
    <n v="58"/>
  </r>
  <r>
    <n v="3453"/>
    <s v="Kléber Oliveira"/>
    <s v="Standard"/>
    <x v="221"/>
    <x v="1"/>
    <n v="10"/>
    <x v="0"/>
    <s v="No"/>
    <s v="-"/>
    <x v="0"/>
    <n v="20"/>
    <x v="2"/>
    <n v="20"/>
  </r>
  <r>
    <n v="3454"/>
    <s v="Luciana Morais"/>
    <s v="Core"/>
    <x v="222"/>
    <x v="0"/>
    <n v="5"/>
    <x v="1"/>
    <s v="No"/>
    <s v="-"/>
    <x v="1"/>
    <n v="0"/>
    <x v="1"/>
    <n v="5"/>
  </r>
  <r>
    <n v="3455"/>
    <s v="Marcos Vinícius"/>
    <s v="Ultimate"/>
    <x v="223"/>
    <x v="1"/>
    <n v="15"/>
    <x v="0"/>
    <s v="Yes"/>
    <n v="30"/>
    <x v="0"/>
    <n v="20"/>
    <x v="7"/>
    <n v="45"/>
  </r>
  <r>
    <n v="3456"/>
    <s v="Natália Barros"/>
    <s v="Standard"/>
    <x v="224"/>
    <x v="0"/>
    <n v="10"/>
    <x v="2"/>
    <s v="No"/>
    <s v="-"/>
    <x v="0"/>
    <n v="20"/>
    <x v="6"/>
    <n v="15"/>
  </r>
  <r>
    <n v="3457"/>
    <s v="Oscar Sampaio"/>
    <s v="Core"/>
    <x v="225"/>
    <x v="1"/>
    <n v="5"/>
    <x v="0"/>
    <s v="No"/>
    <s v="-"/>
    <x v="1"/>
    <n v="0"/>
    <x v="4"/>
    <n v="4"/>
  </r>
  <r>
    <n v="3458"/>
    <s v="Patrícia Leite"/>
    <s v="Ultimate"/>
    <x v="226"/>
    <x v="0"/>
    <n v="15"/>
    <x v="1"/>
    <s v="Yes"/>
    <n v="30"/>
    <x v="0"/>
    <n v="20"/>
    <x v="3"/>
    <n v="62"/>
  </r>
  <r>
    <n v="3459"/>
    <s v="Quênia Rocha"/>
    <s v="Standard"/>
    <x v="227"/>
    <x v="1"/>
    <n v="10"/>
    <x v="0"/>
    <s v="No"/>
    <s v="-"/>
    <x v="0"/>
    <n v="20"/>
    <x v="2"/>
    <n v="20"/>
  </r>
  <r>
    <n v="3460"/>
    <s v="Rafael Torres"/>
    <s v="Core"/>
    <x v="228"/>
    <x v="0"/>
    <n v="5"/>
    <x v="2"/>
    <s v="No"/>
    <s v="-"/>
    <x v="1"/>
    <n v="0"/>
    <x v="1"/>
    <n v="5"/>
  </r>
  <r>
    <n v="3461"/>
    <s v="Sandra Gouveia"/>
    <s v="Ultimate"/>
    <x v="229"/>
    <x v="1"/>
    <n v="15"/>
    <x v="0"/>
    <s v="Yes"/>
    <n v="30"/>
    <x v="0"/>
    <n v="20"/>
    <x v="6"/>
    <n v="50"/>
  </r>
  <r>
    <n v="3462"/>
    <s v="Tiago Lacerda"/>
    <s v="Standard"/>
    <x v="230"/>
    <x v="0"/>
    <n v="10"/>
    <x v="1"/>
    <s v="No"/>
    <s v="-"/>
    <x v="0"/>
    <n v="20"/>
    <x v="6"/>
    <n v="15"/>
  </r>
  <r>
    <n v="3463"/>
    <s v="Ursula Fonseca"/>
    <s v="Core"/>
    <x v="231"/>
    <x v="1"/>
    <n v="5"/>
    <x v="0"/>
    <s v="No"/>
    <s v="-"/>
    <x v="1"/>
    <n v="0"/>
    <x v="4"/>
    <n v="4"/>
  </r>
  <r>
    <n v="3464"/>
    <s v="Vanessa Andrade"/>
    <s v="Ultimate"/>
    <x v="232"/>
    <x v="0"/>
    <n v="15"/>
    <x v="2"/>
    <s v="Yes"/>
    <n v="30"/>
    <x v="0"/>
    <n v="20"/>
    <x v="10"/>
    <n v="58"/>
  </r>
  <r>
    <n v="3465"/>
    <s v="William Castro"/>
    <s v="Standard"/>
    <x v="233"/>
    <x v="1"/>
    <n v="10"/>
    <x v="0"/>
    <s v="No"/>
    <s v="-"/>
    <x v="0"/>
    <n v="20"/>
    <x v="2"/>
    <n v="20"/>
  </r>
  <r>
    <n v="3466"/>
    <s v="Xavier Monteiro"/>
    <s v="Core"/>
    <x v="234"/>
    <x v="0"/>
    <n v="5"/>
    <x v="1"/>
    <s v="No"/>
    <s v="-"/>
    <x v="1"/>
    <n v="0"/>
    <x v="1"/>
    <n v="5"/>
  </r>
  <r>
    <n v="3467"/>
    <s v="Yasmin Figueira"/>
    <s v="Ultimate"/>
    <x v="235"/>
    <x v="1"/>
    <n v="15"/>
    <x v="0"/>
    <s v="Yes"/>
    <n v="30"/>
    <x v="0"/>
    <n v="20"/>
    <x v="6"/>
    <n v="50"/>
  </r>
  <r>
    <n v="3468"/>
    <s v="Zacarias Mendonça"/>
    <s v="Standard"/>
    <x v="236"/>
    <x v="0"/>
    <n v="10"/>
    <x v="2"/>
    <s v="No"/>
    <s v="-"/>
    <x v="0"/>
    <n v="20"/>
    <x v="9"/>
    <n v="18"/>
  </r>
  <r>
    <n v="3469"/>
    <s v="Amanda Menezes"/>
    <s v="Core"/>
    <x v="237"/>
    <x v="1"/>
    <n v="5"/>
    <x v="0"/>
    <s v="No"/>
    <s v="-"/>
    <x v="1"/>
    <n v="0"/>
    <x v="5"/>
    <n v="3"/>
  </r>
  <r>
    <n v="3470"/>
    <s v="Bruno Santos"/>
    <s v="Ultimate"/>
    <x v="238"/>
    <x v="0"/>
    <n v="15"/>
    <x v="1"/>
    <s v="Yes"/>
    <n v="30"/>
    <x v="0"/>
    <n v="20"/>
    <x v="0"/>
    <n v="60"/>
  </r>
  <r>
    <n v="3471"/>
    <s v="Carla Ferreira"/>
    <s v="Standard"/>
    <x v="239"/>
    <x v="1"/>
    <n v="10"/>
    <x v="0"/>
    <s v="No"/>
    <s v="-"/>
    <x v="0"/>
    <n v="20"/>
    <x v="2"/>
    <n v="20"/>
  </r>
  <r>
    <n v="3472"/>
    <s v="Diogo Alves"/>
    <s v="Core"/>
    <x v="240"/>
    <x v="0"/>
    <n v="5"/>
    <x v="2"/>
    <s v="No"/>
    <s v="-"/>
    <x v="1"/>
    <n v="0"/>
    <x v="1"/>
    <n v="5"/>
  </r>
  <r>
    <n v="3473"/>
    <s v="Elisa Neves"/>
    <s v="Ultimate"/>
    <x v="241"/>
    <x v="1"/>
    <n v="15"/>
    <x v="0"/>
    <s v="Yes"/>
    <n v="30"/>
    <x v="0"/>
    <n v="20"/>
    <x v="3"/>
    <n v="62"/>
  </r>
  <r>
    <n v="3474"/>
    <s v="Fabiano Pires"/>
    <s v="Standard"/>
    <x v="242"/>
    <x v="0"/>
    <n v="10"/>
    <x v="1"/>
    <s v="No"/>
    <s v="-"/>
    <x v="0"/>
    <n v="20"/>
    <x v="6"/>
    <n v="15"/>
  </r>
  <r>
    <n v="3475"/>
    <s v="Giovana Ribeiro"/>
    <s v="Core"/>
    <x v="243"/>
    <x v="1"/>
    <n v="5"/>
    <x v="0"/>
    <s v="No"/>
    <s v="-"/>
    <x v="1"/>
    <n v="0"/>
    <x v="4"/>
    <n v="4"/>
  </r>
  <r>
    <n v="3476"/>
    <s v="Hélio Costa"/>
    <s v="Ultimate"/>
    <x v="244"/>
    <x v="0"/>
    <n v="15"/>
    <x v="2"/>
    <s v="Yes"/>
    <n v="30"/>
    <x v="0"/>
    <n v="20"/>
    <x v="10"/>
    <n v="58"/>
  </r>
  <r>
    <n v="3477"/>
    <s v="Íris Loureiro"/>
    <s v="Standard"/>
    <x v="245"/>
    <x v="1"/>
    <n v="10"/>
    <x v="0"/>
    <s v="No"/>
    <s v="-"/>
    <x v="0"/>
    <n v="20"/>
    <x v="2"/>
    <n v="20"/>
  </r>
  <r>
    <n v="3478"/>
    <s v="João Pereira"/>
    <s v="Core"/>
    <x v="246"/>
    <x v="0"/>
    <n v="5"/>
    <x v="1"/>
    <s v="No"/>
    <s v="-"/>
    <x v="1"/>
    <n v="0"/>
    <x v="1"/>
    <n v="5"/>
  </r>
  <r>
    <n v="3479"/>
    <s v="Klara Silva"/>
    <s v="Ultimate"/>
    <x v="247"/>
    <x v="1"/>
    <n v="15"/>
    <x v="0"/>
    <s v="Yes"/>
    <n v="30"/>
    <x v="0"/>
    <n v="20"/>
    <x v="7"/>
    <n v="45"/>
  </r>
  <r>
    <n v="3480"/>
    <s v="Luciana Barros"/>
    <s v="Standard"/>
    <x v="248"/>
    <x v="0"/>
    <n v="10"/>
    <x v="2"/>
    <s v="No"/>
    <s v="-"/>
    <x v="0"/>
    <n v="20"/>
    <x v="6"/>
    <n v="15"/>
  </r>
  <r>
    <n v="3481"/>
    <s v="Marcos Gomes"/>
    <s v="Core"/>
    <x v="249"/>
    <x v="1"/>
    <n v="5"/>
    <x v="0"/>
    <s v="No"/>
    <s v="-"/>
    <x v="1"/>
    <n v="0"/>
    <x v="4"/>
    <n v="4"/>
  </r>
  <r>
    <n v="3482"/>
    <s v="Natália Soares"/>
    <s v="Ultimate"/>
    <x v="250"/>
    <x v="0"/>
    <n v="15"/>
    <x v="1"/>
    <s v="Yes"/>
    <n v="30"/>
    <x v="0"/>
    <n v="20"/>
    <x v="3"/>
    <n v="62"/>
  </r>
  <r>
    <n v="3483"/>
    <s v="Oscar Machado"/>
    <s v="Standard"/>
    <x v="251"/>
    <x v="1"/>
    <n v="10"/>
    <x v="0"/>
    <s v="No"/>
    <s v="-"/>
    <x v="0"/>
    <n v="20"/>
    <x v="2"/>
    <n v="20"/>
  </r>
  <r>
    <n v="3484"/>
    <s v="Patrícia Lima"/>
    <s v="Core"/>
    <x v="252"/>
    <x v="0"/>
    <n v="5"/>
    <x v="2"/>
    <s v="No"/>
    <s v="-"/>
    <x v="1"/>
    <n v="0"/>
    <x v="1"/>
    <n v="5"/>
  </r>
  <r>
    <n v="3485"/>
    <s v="Quirino Neto"/>
    <s v="Ultimate"/>
    <x v="253"/>
    <x v="1"/>
    <n v="15"/>
    <x v="0"/>
    <s v="Yes"/>
    <n v="30"/>
    <x v="0"/>
    <n v="20"/>
    <x v="6"/>
    <n v="50"/>
  </r>
  <r>
    <n v="3486"/>
    <s v="Rafaela Souza"/>
    <s v="Core"/>
    <x v="254"/>
    <x v="0"/>
    <n v="5"/>
    <x v="0"/>
    <s v="No"/>
    <s v="-"/>
    <x v="1"/>
    <n v="0"/>
    <x v="1"/>
    <n v="5"/>
  </r>
  <r>
    <n v="3487"/>
    <s v="Sandro Almeida"/>
    <s v="Ultimate"/>
    <x v="255"/>
    <x v="1"/>
    <n v="15"/>
    <x v="2"/>
    <s v="Yes"/>
    <n v="30"/>
    <x v="0"/>
    <n v="20"/>
    <x v="10"/>
    <n v="58"/>
  </r>
  <r>
    <n v="3488"/>
    <s v="Tânia Ribeiro"/>
    <s v="Standard"/>
    <x v="256"/>
    <x v="0"/>
    <n v="10"/>
    <x v="1"/>
    <s v="No"/>
    <s v="-"/>
    <x v="0"/>
    <n v="20"/>
    <x v="2"/>
    <n v="20"/>
  </r>
  <r>
    <n v="3489"/>
    <s v="Ugo Dias"/>
    <s v="Core"/>
    <x v="257"/>
    <x v="1"/>
    <n v="5"/>
    <x v="2"/>
    <s v="No"/>
    <s v="-"/>
    <x v="1"/>
    <n v="0"/>
    <x v="4"/>
    <n v="4"/>
  </r>
  <r>
    <n v="3490"/>
    <s v="Valéria Lima"/>
    <s v="Ultimate"/>
    <x v="258"/>
    <x v="0"/>
    <n v="15"/>
    <x v="0"/>
    <s v="Yes"/>
    <n v="30"/>
    <x v="0"/>
    <n v="20"/>
    <x v="6"/>
    <n v="50"/>
  </r>
  <r>
    <n v="3491"/>
    <s v="William Fernandes"/>
    <s v="Standard"/>
    <x v="259"/>
    <x v="1"/>
    <n v="10"/>
    <x v="0"/>
    <s v="No"/>
    <s v="-"/>
    <x v="0"/>
    <n v="20"/>
    <x v="0"/>
    <n v="25"/>
  </r>
  <r>
    <n v="3492"/>
    <s v="Xuxa Mendes"/>
    <s v="Core"/>
    <x v="260"/>
    <x v="0"/>
    <n v="5"/>
    <x v="1"/>
    <s v="No"/>
    <s v="-"/>
    <x v="1"/>
    <n v="0"/>
    <x v="1"/>
    <n v="5"/>
  </r>
  <r>
    <n v="3493"/>
    <s v="Ygor Farias"/>
    <s v="Ultimate"/>
    <x v="261"/>
    <x v="1"/>
    <n v="15"/>
    <x v="2"/>
    <s v="Yes"/>
    <n v="30"/>
    <x v="0"/>
    <n v="20"/>
    <x v="7"/>
    <n v="45"/>
  </r>
  <r>
    <n v="3494"/>
    <s v="Zilda Barros"/>
    <s v="Standard"/>
    <x v="262"/>
    <x v="0"/>
    <n v="10"/>
    <x v="2"/>
    <s v="No"/>
    <s v="-"/>
    <x v="0"/>
    <n v="20"/>
    <x v="9"/>
    <n v="18"/>
  </r>
  <r>
    <n v="3495"/>
    <s v="Amanda Santos"/>
    <s v="Core"/>
    <x v="263"/>
    <x v="1"/>
    <n v="5"/>
    <x v="0"/>
    <s v="No"/>
    <s v="-"/>
    <x v="1"/>
    <n v="0"/>
    <x v="5"/>
    <n v="3"/>
  </r>
  <r>
    <n v="3496"/>
    <s v="Bruno Costa"/>
    <s v="Ultimate"/>
    <x v="264"/>
    <x v="0"/>
    <n v="15"/>
    <x v="1"/>
    <s v="Yes"/>
    <n v="30"/>
    <x v="0"/>
    <n v="20"/>
    <x v="0"/>
    <n v="60"/>
  </r>
  <r>
    <n v="3497"/>
    <s v="Carla Rodrigues"/>
    <s v="Standard"/>
    <x v="265"/>
    <x v="1"/>
    <n v="10"/>
    <x v="0"/>
    <s v="No"/>
    <s v="-"/>
    <x v="0"/>
    <n v="20"/>
    <x v="2"/>
    <n v="20"/>
  </r>
  <r>
    <n v="3498"/>
    <s v="Diogo Pereira"/>
    <s v="Core"/>
    <x v="266"/>
    <x v="0"/>
    <n v="5"/>
    <x v="2"/>
    <s v="No"/>
    <s v="-"/>
    <x v="1"/>
    <n v="0"/>
    <x v="1"/>
    <n v="5"/>
  </r>
  <r>
    <n v="3499"/>
    <s v="Elisa Correia"/>
    <s v="Ultimate"/>
    <x v="267"/>
    <x v="1"/>
    <n v="15"/>
    <x v="0"/>
    <s v="Yes"/>
    <n v="30"/>
    <x v="0"/>
    <n v="20"/>
    <x v="3"/>
    <n v="62"/>
  </r>
  <r>
    <n v="3500"/>
    <s v="Fábio Lourenço"/>
    <s v="Standard"/>
    <x v="268"/>
    <x v="0"/>
    <n v="10"/>
    <x v="1"/>
    <s v="No"/>
    <s v="-"/>
    <x v="0"/>
    <n v="20"/>
    <x v="6"/>
    <n v="15"/>
  </r>
  <r>
    <n v="3501"/>
    <s v="Gabriela Neves"/>
    <s v="Core"/>
    <x v="269"/>
    <x v="1"/>
    <n v="5"/>
    <x v="0"/>
    <s v="No"/>
    <s v="-"/>
    <x v="1"/>
    <n v="0"/>
    <x v="4"/>
    <n v="4"/>
  </r>
  <r>
    <n v="3502"/>
    <s v="Henrique Gonçalves"/>
    <s v="Ultimate"/>
    <x v="270"/>
    <x v="0"/>
    <n v="15"/>
    <x v="2"/>
    <s v="Yes"/>
    <n v="30"/>
    <x v="0"/>
    <n v="20"/>
    <x v="10"/>
    <n v="58"/>
  </r>
  <r>
    <n v="3503"/>
    <s v="Íris Santos"/>
    <s v="Standard"/>
    <x v="271"/>
    <x v="1"/>
    <n v="10"/>
    <x v="0"/>
    <s v="No"/>
    <s v="-"/>
    <x v="0"/>
    <n v="20"/>
    <x v="2"/>
    <n v="20"/>
  </r>
  <r>
    <n v="3504"/>
    <s v="João Marcelo Alves"/>
    <s v="Core"/>
    <x v="272"/>
    <x v="0"/>
    <n v="5"/>
    <x v="1"/>
    <s v="No"/>
    <s v="-"/>
    <x v="1"/>
    <n v="0"/>
    <x v="1"/>
    <n v="5"/>
  </r>
  <r>
    <n v="3505"/>
    <s v="Klara Fonseca"/>
    <s v="Ultimate"/>
    <x v="273"/>
    <x v="1"/>
    <n v="15"/>
    <x v="0"/>
    <s v="Yes"/>
    <n v="30"/>
    <x v="0"/>
    <n v="20"/>
    <x v="7"/>
    <n v="45"/>
  </r>
  <r>
    <n v="3506"/>
    <s v="Lucas Mendonça"/>
    <s v="Standard"/>
    <x v="274"/>
    <x v="0"/>
    <n v="10"/>
    <x v="2"/>
    <s v="No"/>
    <s v="-"/>
    <x v="0"/>
    <n v="20"/>
    <x v="6"/>
    <n v="15"/>
  </r>
  <r>
    <n v="3507"/>
    <s v="Marcela Torres"/>
    <s v="Core"/>
    <x v="275"/>
    <x v="1"/>
    <n v="5"/>
    <x v="0"/>
    <s v="No"/>
    <s v="-"/>
    <x v="1"/>
    <n v="0"/>
    <x v="4"/>
    <n v="4"/>
  </r>
  <r>
    <n v="3508"/>
    <s v="Natália Castro"/>
    <s v="Ultimate"/>
    <x v="276"/>
    <x v="0"/>
    <n v="15"/>
    <x v="1"/>
    <s v="Yes"/>
    <n v="30"/>
    <x v="0"/>
    <n v="20"/>
    <x v="3"/>
    <n v="62"/>
  </r>
  <r>
    <n v="3509"/>
    <s v="Oscar Martins"/>
    <s v="Standard"/>
    <x v="277"/>
    <x v="1"/>
    <n v="10"/>
    <x v="0"/>
    <s v="No"/>
    <s v="-"/>
    <x v="0"/>
    <n v="20"/>
    <x v="2"/>
    <n v="20"/>
  </r>
  <r>
    <n v="3510"/>
    <s v="Patrícia Oliveira"/>
    <s v="Core"/>
    <x v="278"/>
    <x v="0"/>
    <n v="5"/>
    <x v="2"/>
    <s v="No"/>
    <s v="-"/>
    <x v="1"/>
    <n v="0"/>
    <x v="1"/>
    <n v="5"/>
  </r>
  <r>
    <n v="3511"/>
    <s v="Quentin Nogueira"/>
    <s v="Ultimate"/>
    <x v="279"/>
    <x v="1"/>
    <n v="15"/>
    <x v="0"/>
    <s v="Yes"/>
    <n v="30"/>
    <x v="0"/>
    <n v="20"/>
    <x v="6"/>
    <n v="50"/>
  </r>
  <r>
    <n v="3512"/>
    <s v="Raquel Silva"/>
    <s v="Standard"/>
    <x v="280"/>
    <x v="0"/>
    <n v="10"/>
    <x v="1"/>
    <s v="No"/>
    <s v="-"/>
    <x v="0"/>
    <n v="20"/>
    <x v="6"/>
    <n v="15"/>
  </r>
  <r>
    <n v="3513"/>
    <s v="Sandro Gomes"/>
    <s v="Core"/>
    <x v="281"/>
    <x v="1"/>
    <n v="5"/>
    <x v="0"/>
    <s v="No"/>
    <s v="-"/>
    <x v="1"/>
    <n v="0"/>
    <x v="4"/>
    <n v="4"/>
  </r>
  <r>
    <n v="3514"/>
    <s v="Tânia Machado"/>
    <s v="Ultimate"/>
    <x v="282"/>
    <x v="0"/>
    <n v="15"/>
    <x v="2"/>
    <s v="Yes"/>
    <n v="30"/>
    <x v="0"/>
    <n v="20"/>
    <x v="10"/>
    <n v="58"/>
  </r>
  <r>
    <n v="3515"/>
    <s v="Ursula Silva"/>
    <s v="Standard"/>
    <x v="283"/>
    <x v="1"/>
    <n v="10"/>
    <x v="0"/>
    <s v="No"/>
    <s v="-"/>
    <x v="0"/>
    <n v="20"/>
    <x v="2"/>
    <n v="20"/>
  </r>
  <r>
    <n v="3516"/>
    <s v="Vanessa Moraes"/>
    <s v="Core"/>
    <x v="284"/>
    <x v="0"/>
    <n v="5"/>
    <x v="1"/>
    <s v="No"/>
    <s v="-"/>
    <x v="1"/>
    <n v="0"/>
    <x v="1"/>
    <n v="5"/>
  </r>
  <r>
    <n v="3517"/>
    <s v="William Carvalho"/>
    <s v="Ultimate"/>
    <x v="285"/>
    <x v="1"/>
    <n v="15"/>
    <x v="0"/>
    <s v="Yes"/>
    <n v="30"/>
    <x v="0"/>
    <n v="20"/>
    <x v="7"/>
    <n v="45"/>
  </r>
  <r>
    <n v="3518"/>
    <s v="Xavier Reis"/>
    <s v="Standard"/>
    <x v="286"/>
    <x v="0"/>
    <n v="10"/>
    <x v="2"/>
    <s v="No"/>
    <s v="-"/>
    <x v="0"/>
    <n v="20"/>
    <x v="9"/>
    <n v="18"/>
  </r>
  <r>
    <n v="3519"/>
    <s v="Yasmin Rocha"/>
    <s v="Core"/>
    <x v="287"/>
    <x v="1"/>
    <n v="5"/>
    <x v="0"/>
    <s v="No"/>
    <s v="-"/>
    <x v="1"/>
    <n v="0"/>
    <x v="5"/>
    <n v="3"/>
  </r>
  <r>
    <n v="3520"/>
    <s v="Zacarias Duarte"/>
    <s v="Ultimate"/>
    <x v="288"/>
    <x v="0"/>
    <n v="15"/>
    <x v="1"/>
    <s v="Yes"/>
    <n v="30"/>
    <x v="0"/>
    <n v="20"/>
    <x v="0"/>
    <n v="60"/>
  </r>
  <r>
    <n v="3521"/>
    <s v="Amanda Freitas"/>
    <s v="Standard"/>
    <x v="289"/>
    <x v="1"/>
    <n v="10"/>
    <x v="0"/>
    <s v="No"/>
    <s v="-"/>
    <x v="0"/>
    <n v="20"/>
    <x v="2"/>
    <n v="20"/>
  </r>
  <r>
    <n v="3522"/>
    <s v="Bruno Almeida"/>
    <s v="Core"/>
    <x v="290"/>
    <x v="0"/>
    <n v="5"/>
    <x v="2"/>
    <s v="No"/>
    <s v="-"/>
    <x v="1"/>
    <n v="0"/>
    <x v="1"/>
    <n v="5"/>
  </r>
  <r>
    <n v="3523"/>
    <s v="Carla Siqueira"/>
    <s v="Ultimate"/>
    <x v="291"/>
    <x v="1"/>
    <n v="15"/>
    <x v="0"/>
    <s v="Yes"/>
    <n v="30"/>
    <x v="0"/>
    <n v="20"/>
    <x v="3"/>
    <n v="62"/>
  </r>
  <r>
    <n v="3524"/>
    <s v="Diogo Ramos"/>
    <s v="Standard"/>
    <x v="292"/>
    <x v="0"/>
    <n v="10"/>
    <x v="1"/>
    <s v="No"/>
    <s v="-"/>
    <x v="0"/>
    <n v="20"/>
    <x v="6"/>
    <n v="15"/>
  </r>
  <r>
    <n v="3525"/>
    <s v="Elisa Magalhães"/>
    <s v="Core"/>
    <x v="293"/>
    <x v="1"/>
    <n v="5"/>
    <x v="0"/>
    <s v="No"/>
    <s v="-"/>
    <x v="1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F6D65-2589-4849-8621-AA1F39AE8328}" name="tbl_renovacao_aut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Auto Renewal">
  <location ref="B14:D17" firstHeaderRow="0" firstDataRow="1" firstDataCol="1"/>
  <pivotFields count="13">
    <pivotField showAll="0"/>
    <pivotField showAll="0"/>
    <pivotField showAll="0"/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. de Auto Renewal" fld="4" subtotal="count" baseField="4" baseItem="0"/>
    <dataField name="Média de Total Value" fld="12" subtotal="average" baseField="4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709F1-3661-45E0-819C-B5AB72C011FF}" name="tbl_medi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Season Pass">
  <location ref="B6:C8" firstHeaderRow="1" firstDataRow="1" firstDataCol="1" rowPageCount="1" colPageCount="1"/>
  <pivotFields count="13">
    <pivotField showAll="0"/>
    <pivotField showAll="0"/>
    <pivotField showAll="0"/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h="1"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9"/>
  </rowFields>
  <rowItems count="2">
    <i>
      <x v="1"/>
    </i>
    <i t="grand">
      <x/>
    </i>
  </rowItems>
  <colItems count="1">
    <i/>
  </colItems>
  <pageFields count="1">
    <pageField fld="6" hier="-1"/>
  </pageFields>
  <dataFields count="1">
    <dataField name="Média de Total Value" fld="12" subtotal="average" baseField="0" baseItem="1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EE8E6-EE57-4544-95B5-435FB4550548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2:F49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multipleItemSelectionAllowed="1" showAll="0">
      <items count="12">
        <item x="1"/>
        <item h="1" x="4"/>
        <item h="1" x="5"/>
        <item h="1" x="3"/>
        <item h="1" x="0"/>
        <item h="1" x="10"/>
        <item h="1" x="8"/>
        <item h="1" x="2"/>
        <item h="1" x="9"/>
        <item h="1" x="6"/>
        <item h="1" x="7"/>
        <item t="default"/>
      </items>
    </pivotField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22466-EFF5-42CA-B33A-5514A878BCE3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32:C33" firstHeaderRow="0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dataField="1" numFmtId="44" multipleItemSelectionAllowed="1" showAll="0">
      <items count="12">
        <item h="1"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/>
    <dataField name="Soma de Total Value" fld="12" baseField="0" baseItem="0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A98D4-D30F-4444-A328-D0C17386840B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4:B25" firstHeaderRow="1" firstDataRow="1" firstDataCol="0" rowPageCount="1" colPageCount="1"/>
  <pivotFields count="13">
    <pivotField showAll="0"/>
    <pivotField showAll="0"/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D31" sqref="D31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G1" zoomScale="90" zoomScaleNormal="90" workbookViewId="0">
      <selection activeCell="D31" sqref="D31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49"/>
  <sheetViews>
    <sheetView showGridLines="0" workbookViewId="0">
      <selection activeCell="D21" sqref="D21"/>
    </sheetView>
  </sheetViews>
  <sheetFormatPr defaultRowHeight="13.8"/>
  <cols>
    <col min="2" max="2" width="21.69921875" bestFit="1" customWidth="1"/>
    <col min="3" max="3" width="19.09765625" bestFit="1" customWidth="1"/>
    <col min="4" max="5" width="21.6992187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2" spans="2:4">
      <c r="B2" s="12" t="s">
        <v>313</v>
      </c>
    </row>
    <row r="3" spans="2:4">
      <c r="B3" s="12"/>
    </row>
    <row r="4" spans="2:4">
      <c r="B4" s="24" t="s">
        <v>16</v>
      </c>
      <c r="C4" t="s">
        <v>318</v>
      </c>
    </row>
    <row r="5" spans="2:4">
      <c r="B5" s="12"/>
    </row>
    <row r="6" spans="2:4">
      <c r="B6" s="24" t="s">
        <v>319</v>
      </c>
      <c r="C6" t="s">
        <v>316</v>
      </c>
    </row>
    <row r="7" spans="2:4">
      <c r="B7" s="25" t="s">
        <v>19</v>
      </c>
      <c r="C7" s="27">
        <v>37.056701030927833</v>
      </c>
    </row>
    <row r="8" spans="2:4">
      <c r="B8" s="25" t="s">
        <v>317</v>
      </c>
      <c r="C8" s="27">
        <v>37.056701030927833</v>
      </c>
    </row>
    <row r="12" spans="2:4">
      <c r="B12" s="12" t="s">
        <v>320</v>
      </c>
    </row>
    <row r="14" spans="2:4">
      <c r="B14" s="24" t="s">
        <v>15</v>
      </c>
      <c r="C14" t="s">
        <v>321</v>
      </c>
      <c r="D14" t="s">
        <v>316</v>
      </c>
    </row>
    <row r="15" spans="2:4">
      <c r="B15" s="25" t="s">
        <v>23</v>
      </c>
      <c r="C15" s="23">
        <v>147</v>
      </c>
      <c r="D15" s="27">
        <v>26.170068027210885</v>
      </c>
    </row>
    <row r="16" spans="2:4">
      <c r="B16" s="25" t="s">
        <v>19</v>
      </c>
      <c r="C16" s="23">
        <v>148</v>
      </c>
      <c r="D16" s="27">
        <v>25.581081081081081</v>
      </c>
    </row>
    <row r="17" spans="2:6">
      <c r="B17" s="25" t="s">
        <v>317</v>
      </c>
      <c r="C17" s="23">
        <v>295</v>
      </c>
      <c r="D17" s="27">
        <v>25.874576271186442</v>
      </c>
    </row>
    <row r="20" spans="2:6">
      <c r="B20" t="s">
        <v>322</v>
      </c>
    </row>
    <row r="22" spans="2:6">
      <c r="B22" s="24" t="s">
        <v>16</v>
      </c>
      <c r="C22" t="s">
        <v>24</v>
      </c>
    </row>
    <row r="24" spans="2:6">
      <c r="B24" t="s">
        <v>315</v>
      </c>
    </row>
    <row r="25" spans="2:6">
      <c r="B25" s="27">
        <v>1754</v>
      </c>
    </row>
    <row r="28" spans="2:6">
      <c r="B28" t="s">
        <v>314</v>
      </c>
    </row>
    <row r="32" spans="2:6">
      <c r="B32" t="s">
        <v>323</v>
      </c>
      <c r="C32" t="s">
        <v>315</v>
      </c>
      <c r="D32" s="14"/>
      <c r="E32" s="15"/>
      <c r="F32" s="16"/>
    </row>
    <row r="33" spans="2:6">
      <c r="B33" s="27">
        <v>2122</v>
      </c>
      <c r="C33" s="27">
        <v>7633</v>
      </c>
      <c r="D33" s="17"/>
      <c r="E33" s="18"/>
      <c r="F33" s="19"/>
    </row>
    <row r="34" spans="2:6">
      <c r="D34" s="17"/>
      <c r="E34" s="18"/>
      <c r="F34" s="19"/>
    </row>
    <row r="35" spans="2:6">
      <c r="D35" s="17"/>
      <c r="E35" s="18"/>
      <c r="F35" s="19"/>
    </row>
    <row r="36" spans="2:6">
      <c r="D36" s="17"/>
      <c r="E36" s="18"/>
      <c r="F36" s="19"/>
    </row>
    <row r="37" spans="2:6">
      <c r="D37" s="17"/>
      <c r="E37" s="18"/>
      <c r="F37" s="19"/>
    </row>
    <row r="38" spans="2:6">
      <c r="D38" s="17"/>
      <c r="E38" s="18"/>
      <c r="F38" s="19"/>
    </row>
    <row r="39" spans="2:6">
      <c r="D39" s="17"/>
      <c r="E39" s="18"/>
      <c r="F39" s="19"/>
    </row>
    <row r="40" spans="2:6">
      <c r="D40" s="17"/>
      <c r="E40" s="18"/>
      <c r="F40" s="19"/>
    </row>
    <row r="41" spans="2:6">
      <c r="D41" s="17"/>
      <c r="E41" s="18"/>
      <c r="F41" s="19"/>
    </row>
    <row r="42" spans="2:6">
      <c r="D42" s="17"/>
      <c r="E42" s="18"/>
      <c r="F42" s="19"/>
    </row>
    <row r="43" spans="2:6">
      <c r="D43" s="17"/>
      <c r="E43" s="18"/>
      <c r="F43" s="19"/>
    </row>
    <row r="44" spans="2:6">
      <c r="D44" s="17"/>
      <c r="E44" s="18"/>
      <c r="F44" s="19"/>
    </row>
    <row r="45" spans="2:6">
      <c r="D45" s="17"/>
      <c r="E45" s="18"/>
      <c r="F45" s="19"/>
    </row>
    <row r="46" spans="2:6">
      <c r="D46" s="17"/>
      <c r="E46" s="18"/>
      <c r="F46" s="19"/>
    </row>
    <row r="47" spans="2:6">
      <c r="D47" s="17"/>
      <c r="E47" s="18"/>
      <c r="F47" s="19"/>
    </row>
    <row r="48" spans="2:6">
      <c r="D48" s="17"/>
      <c r="E48" s="18"/>
      <c r="F48" s="19"/>
    </row>
    <row r="49" spans="4:6">
      <c r="D49" s="20"/>
      <c r="E49" s="21"/>
      <c r="F49" s="22"/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34"/>
  <sheetViews>
    <sheetView showGridLines="0" tabSelected="1" zoomScale="80" zoomScaleNormal="80" workbookViewId="0">
      <selection activeCell="U22" sqref="U22"/>
    </sheetView>
  </sheetViews>
  <sheetFormatPr defaultRowHeight="13.8"/>
  <cols>
    <col min="1" max="1" width="20" customWidth="1"/>
    <col min="2" max="2" width="3.59765625" customWidth="1"/>
    <col min="12" max="12" width="6.59765625" customWidth="1"/>
  </cols>
  <sheetData>
    <row r="2" spans="1:19" ht="39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8.25" customHeight="1">
      <c r="A3" s="4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ht="7.5" customHeight="1">
      <c r="A4" s="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19" ht="10.5" customHeight="1">
      <c r="A5" s="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1:19">
      <c r="A6" s="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>
      <c r="A7" s="4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>
      <c r="A8" s="4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19">
      <c r="A9" s="4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1:19">
      <c r="A10" s="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1:19">
      <c r="A11" s="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spans="1:19">
      <c r="A12" s="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 spans="1:19">
      <c r="A13" s="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>
      <c r="A14" s="4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>
      <c r="A15" s="4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spans="1:19">
      <c r="A16" s="4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spans="1:19">
      <c r="A17" s="4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 spans="1:19">
      <c r="A18" s="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>
      <c r="A19" s="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spans="1:19">
      <c r="A20" s="4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>
      <c r="A21" s="4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>
      <c r="A22" s="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spans="1:19">
      <c r="A23" s="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spans="1:19">
      <c r="A24" s="4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spans="1:19">
      <c r="A25" s="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19">
      <c r="A26" s="4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1:19">
      <c r="A27" s="4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19">
      <c r="A28" s="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spans="1:19">
      <c r="A29" s="4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spans="1:19">
      <c r="A30" s="4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 spans="1:19">
      <c r="A31" s="4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</row>
    <row r="32" spans="1:19">
      <c r="A32" s="4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 spans="1:19">
      <c r="A33" s="4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19">
      <c r="A34" s="4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FA93F73-63BC-4D2E-B379-777377FD2F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 Eduarda Falcão de Oliveira</cp:lastModifiedBy>
  <dcterms:created xsi:type="dcterms:W3CDTF">2024-12-19T13:13:10Z</dcterms:created>
  <dcterms:modified xsi:type="dcterms:W3CDTF">2025-09-27T18:16:58Z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